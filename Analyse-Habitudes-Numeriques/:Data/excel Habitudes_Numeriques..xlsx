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ma\Downloads\"/>
    </mc:Choice>
  </mc:AlternateContent>
  <xr:revisionPtr revIDLastSave="0" documentId="8_{A3399055-E4C0-4299-BE74-B7F8B467DAA9}" xr6:coauthVersionLast="47" xr6:coauthVersionMax="47" xr10:uidLastSave="{00000000-0000-0000-0000-000000000000}"/>
  <bookViews>
    <workbookView xWindow="-110" yWindow="-110" windowWidth="19420" windowHeight="10420" xr2:uid="{9CFD36CE-C700-4BA2-8B06-A905C0872BB8}"/>
  </bookViews>
  <sheets>
    <sheet name="Répondants" sheetId="1" r:id="rId1"/>
    <sheet name="Paramètres de Surveillance" sheetId="2" r:id="rId2"/>
    <sheet name="Données de l'Enquête " sheetId="3" r:id="rId3"/>
    <sheet name="Comportements &amp; Sources" sheetId="4" r:id="rId4"/>
    <sheet name="Tableau de Bord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" l="1"/>
  <c r="I9" i="1"/>
  <c r="I8" i="1"/>
  <c r="I7" i="1"/>
  <c r="Y4" i="3"/>
  <c r="Y3" i="3"/>
  <c r="Y2" i="3"/>
  <c r="V3" i="3"/>
  <c r="V2" i="3"/>
  <c r="S5" i="3"/>
  <c r="S4" i="3"/>
  <c r="S3" i="3"/>
  <c r="S2" i="3"/>
  <c r="P4" i="3"/>
  <c r="P3" i="3"/>
  <c r="P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I4" i="1"/>
  <c r="I3" i="1"/>
  <c r="I2" i="1"/>
  <c r="D6" i="2"/>
  <c r="D7" i="2"/>
  <c r="H11" i="4"/>
  <c r="H12" i="4"/>
  <c r="H13" i="4"/>
  <c r="H14" i="4"/>
  <c r="H15" i="4"/>
  <c r="H16" i="4"/>
  <c r="H17" i="4"/>
  <c r="H18" i="4"/>
  <c r="H19" i="4"/>
  <c r="H20" i="4"/>
  <c r="H21" i="4"/>
  <c r="H3" i="4"/>
  <c r="H4" i="4"/>
  <c r="H5" i="4"/>
  <c r="H6" i="4"/>
  <c r="H7" i="4"/>
  <c r="H8" i="4"/>
  <c r="H9" i="4"/>
  <c r="H10" i="4"/>
  <c r="H2" i="4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3" i="3"/>
  <c r="M4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2" i="3"/>
  <c r="J38" i="3"/>
  <c r="J39" i="3"/>
  <c r="J40" i="3"/>
  <c r="J41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15" i="3"/>
  <c r="J16" i="3"/>
  <c r="J17" i="3"/>
  <c r="J18" i="3"/>
  <c r="J19" i="3"/>
  <c r="J20" i="3"/>
  <c r="J21" i="3"/>
  <c r="J22" i="3"/>
  <c r="J23" i="3"/>
  <c r="J3" i="3"/>
  <c r="J4" i="3"/>
  <c r="J5" i="3"/>
  <c r="J6" i="3"/>
  <c r="J7" i="3"/>
  <c r="J8" i="3"/>
  <c r="J9" i="3"/>
  <c r="J10" i="3"/>
  <c r="J11" i="3"/>
  <c r="J12" i="3"/>
  <c r="J13" i="3"/>
  <c r="J14" i="3"/>
  <c r="J2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" i="3"/>
  <c r="E5" i="3"/>
  <c r="E6" i="3"/>
  <c r="E7" i="3"/>
  <c r="E8" i="3"/>
  <c r="E9" i="3"/>
  <c r="E10" i="3"/>
  <c r="E3" i="3"/>
  <c r="E2" i="3"/>
  <c r="D40" i="3"/>
  <c r="D41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15" i="3"/>
  <c r="D16" i="3"/>
  <c r="D17" i="3"/>
  <c r="D18" i="3"/>
  <c r="D19" i="3"/>
  <c r="D20" i="3"/>
  <c r="D21" i="3"/>
  <c r="D22" i="3"/>
  <c r="D23" i="3"/>
  <c r="D24" i="3"/>
  <c r="D25" i="3"/>
  <c r="D26" i="3"/>
  <c r="D4" i="3"/>
  <c r="D5" i="3"/>
  <c r="D6" i="3"/>
  <c r="D7" i="3"/>
  <c r="D8" i="3"/>
  <c r="D9" i="3"/>
  <c r="D10" i="3"/>
  <c r="D11" i="3"/>
  <c r="D12" i="3"/>
  <c r="D13" i="3"/>
  <c r="D14" i="3"/>
  <c r="D3" i="3"/>
  <c r="D2" i="3"/>
</calcChain>
</file>

<file path=xl/sharedStrings.xml><?xml version="1.0" encoding="utf-8"?>
<sst xmlns="http://schemas.openxmlformats.org/spreadsheetml/2006/main" count="451" uniqueCount="239">
  <si>
    <t>ID_Étudiant</t>
  </si>
  <si>
    <t>Prénom</t>
  </si>
  <si>
    <t>Filière</t>
  </si>
  <si>
    <t>Niveau</t>
  </si>
  <si>
    <t>Région_Origine</t>
  </si>
  <si>
    <t>Dispositif_Principal</t>
  </si>
  <si>
    <t>ET001</t>
  </si>
  <si>
    <t>Youssef</t>
  </si>
  <si>
    <t>MMSD</t>
  </si>
  <si>
    <t>DEUST1</t>
  </si>
  <si>
    <t>Tanger</t>
  </si>
  <si>
    <t>Smartphone</t>
  </si>
  <si>
    <t>ET002</t>
  </si>
  <si>
    <t>Fatima</t>
  </si>
  <si>
    <t>Informatique</t>
  </si>
  <si>
    <t>Rabat</t>
  </si>
  <si>
    <t>PC</t>
  </si>
  <si>
    <t>ET003</t>
  </si>
  <si>
    <t>Amine</t>
  </si>
  <si>
    <t>Physique</t>
  </si>
  <si>
    <t>DEUST2</t>
  </si>
  <si>
    <t>Casablanca</t>
  </si>
  <si>
    <t>Mixte</t>
  </si>
  <si>
    <t>ET004</t>
  </si>
  <si>
    <t>Salma</t>
  </si>
  <si>
    <t>Fès</t>
  </si>
  <si>
    <t>Tablette</t>
  </si>
  <si>
    <t>ET005</t>
  </si>
  <si>
    <t>Omar</t>
  </si>
  <si>
    <t>Licence1</t>
  </si>
  <si>
    <t>ET006</t>
  </si>
  <si>
    <t>Nadia</t>
  </si>
  <si>
    <t>Marrakech</t>
  </si>
  <si>
    <t>ET007</t>
  </si>
  <si>
    <t>Karim</t>
  </si>
  <si>
    <t>ET008</t>
  </si>
  <si>
    <t>Houda</t>
  </si>
  <si>
    <t>Agadir</t>
  </si>
  <si>
    <t>ET009</t>
  </si>
  <si>
    <t>Bilal</t>
  </si>
  <si>
    <t>ET010</t>
  </si>
  <si>
    <t>Rim</t>
  </si>
  <si>
    <t>ET011</t>
  </si>
  <si>
    <t>Tariq</t>
  </si>
  <si>
    <t>ET012</t>
  </si>
  <si>
    <t>Zineb</t>
  </si>
  <si>
    <t>ET013</t>
  </si>
  <si>
    <t>Mehdi</t>
  </si>
  <si>
    <t>ET014</t>
  </si>
  <si>
    <t>Asmae</t>
  </si>
  <si>
    <t>ET015</t>
  </si>
  <si>
    <t>Hamza</t>
  </si>
  <si>
    <t>ET016</t>
  </si>
  <si>
    <t>Layla</t>
  </si>
  <si>
    <t>ET017</t>
  </si>
  <si>
    <t>Rachid</t>
  </si>
  <si>
    <t>ET018</t>
  </si>
  <si>
    <t>Dounia</t>
  </si>
  <si>
    <t>ET019</t>
  </si>
  <si>
    <t>Saad</t>
  </si>
  <si>
    <t>ET020</t>
  </si>
  <si>
    <t>Imane</t>
  </si>
  <si>
    <t>ET021</t>
  </si>
  <si>
    <t>Othmane</t>
  </si>
  <si>
    <t>ET022</t>
  </si>
  <si>
    <t>Chaimae</t>
  </si>
  <si>
    <t>ET023</t>
  </si>
  <si>
    <t>Walid</t>
  </si>
  <si>
    <t>ET024</t>
  </si>
  <si>
    <t>Hajar</t>
  </si>
  <si>
    <t>ET025</t>
  </si>
  <si>
    <t>Nassim</t>
  </si>
  <si>
    <t>ET026</t>
  </si>
  <si>
    <t>Siham</t>
  </si>
  <si>
    <t>ET027</t>
  </si>
  <si>
    <t>Ayoub</t>
  </si>
  <si>
    <t>ET028</t>
  </si>
  <si>
    <t>Meriem</t>
  </si>
  <si>
    <t>ET029</t>
  </si>
  <si>
    <t>Iliass</t>
  </si>
  <si>
    <t>ET030</t>
  </si>
  <si>
    <t>Safae</t>
  </si>
  <si>
    <t>ID_Var</t>
  </si>
  <si>
    <t>Variable</t>
  </si>
  <si>
    <t>Unité</t>
  </si>
  <si>
    <t>Seuil Réf.</t>
  </si>
  <si>
    <t>Niv. Alerte</t>
  </si>
  <si>
    <t>V001</t>
  </si>
  <si>
    <t>Heures_Etude_Semaine</t>
  </si>
  <si>
    <t>h/sem</t>
  </si>
  <si>
    <t>= 20h</t>
  </si>
  <si>
    <t>&lt; 10h</t>
  </si>
  <si>
    <t>V002</t>
  </si>
  <si>
    <t>Utilisation_IA_Semaine</t>
  </si>
  <si>
    <t>&lt; 5h</t>
  </si>
  <si>
    <t>&gt; 15h</t>
  </si>
  <si>
    <t>V003</t>
  </si>
  <si>
    <t>Temps_Reseaux_Sociaux</t>
  </si>
  <si>
    <t>h/jour</t>
  </si>
  <si>
    <t>&lt; 2h</t>
  </si>
  <si>
    <t>&gt; 5h</t>
  </si>
  <si>
    <t>V004</t>
  </si>
  <si>
    <t>Heures_Sommeil_Nuit</t>
  </si>
  <si>
    <t>h/nuit</t>
  </si>
  <si>
    <t>7-9h</t>
  </si>
  <si>
    <t>&lt; 6h</t>
  </si>
  <si>
    <t>V005</t>
  </si>
  <si>
    <t>Nb_Apps_Educatives</t>
  </si>
  <si>
    <t>apps</t>
  </si>
  <si>
    <t>V006</t>
  </si>
  <si>
    <t>Score_Satisfaction_Num.</t>
  </si>
  <si>
    <t>/10</t>
  </si>
  <si>
    <t>&lt; 4/10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</si>
  <si>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</si>
  <si>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</si>
  <si>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</si>
  <si>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</si>
  <si>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</si>
  <si>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</si>
  <si>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</si>
  <si>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</si>
  <si>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</si>
  <si>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</si>
  <si>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</si>
  <si>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</si>
  <si>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</si>
  <si>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</si>
  <si>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</si>
  <si>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</si>
  <si>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</si>
  <si>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</si>
  <si>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</si>
  <si>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</si>
  <si>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</si>
  <si>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</si>
  <si>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</si>
  <si>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</si>
  <si>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</si>
  <si>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</si>
  <si>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</si>
  <si>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</si>
  <si>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</si>
  <si>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</si>
  <si>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</si>
  <si>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</si>
  <si>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</si>
  <si>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</si>
  <si>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</si>
  <si>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</si>
  <si>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</si>
  <si>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</si>
  <si>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</si>
  <si>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</si>
  <si>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ID_Relevé</t>
  </si>
  <si>
    <t>Date</t>
  </si>
  <si>
    <t>Prénom_Étudiant</t>
  </si>
  <si>
    <t>Heures_Etude</t>
  </si>
  <si>
    <t>Utilisation_IA</t>
  </si>
  <si>
    <t>Temps_RS</t>
  </si>
  <si>
    <t>Heures_Sommeil</t>
  </si>
  <si>
    <t xml:space="preserve">Score_Engagement </t>
  </si>
  <si>
    <t>Profil_Numérique</t>
  </si>
  <si>
    <t>Alerte_Dépendance</t>
  </si>
  <si>
    <t>Statut</t>
  </si>
  <si>
    <t>ID_Comportement</t>
  </si>
  <si>
    <t>Désignation</t>
  </si>
  <si>
    <t>Source_Principale</t>
  </si>
  <si>
    <t>Niveau_Impact</t>
  </si>
  <si>
    <t>Fréquence_Détection</t>
  </si>
  <si>
    <t>Impact_Santé</t>
  </si>
  <si>
    <t>Domaine</t>
  </si>
  <si>
    <t>Valeur_Impact</t>
  </si>
  <si>
    <t>C001</t>
  </si>
  <si>
    <t>Utilisation excessive TikTok</t>
  </si>
  <si>
    <t>Social</t>
  </si>
  <si>
    <t>Enquête interne</t>
  </si>
  <si>
    <t>Négatif fort</t>
  </si>
  <si>
    <t>C002</t>
  </si>
  <si>
    <t>Révision via YouTube</t>
  </si>
  <si>
    <t>Académique</t>
  </si>
  <si>
    <t>Rapport OCDE</t>
  </si>
  <si>
    <t>Positif</t>
  </si>
  <si>
    <t>C003</t>
  </si>
  <si>
    <t>Jeux vidéo nuit</t>
  </si>
  <si>
    <t>Loisir</t>
  </si>
  <si>
    <t>Étude UNESCO</t>
  </si>
  <si>
    <t>C004</t>
  </si>
  <si>
    <t>Utilisation ChatGPT devoirs</t>
  </si>
  <si>
    <t>Survey étudiant</t>
  </si>
  <si>
    <t>Modéré</t>
  </si>
  <si>
    <t>C005</t>
  </si>
  <si>
    <t>Consultation Instagram</t>
  </si>
  <si>
    <t>C006</t>
  </si>
  <si>
    <t>Lecture e-books</t>
  </si>
  <si>
    <t>C007</t>
  </si>
  <si>
    <t>Streaming Netflix</t>
  </si>
  <si>
    <t>Divertissement</t>
  </si>
  <si>
    <t>C008</t>
  </si>
  <si>
    <t>Cours en ligne Coursera</t>
  </si>
  <si>
    <t>Rapport UNESCO</t>
  </si>
  <si>
    <t>C009</t>
  </si>
  <si>
    <t>Notifications constantes</t>
  </si>
  <si>
    <t>C010</t>
  </si>
  <si>
    <t>Travail collaboratif Teams</t>
  </si>
  <si>
    <t>Professionnel</t>
  </si>
  <si>
    <t>C011</t>
  </si>
  <si>
    <t>Scroll passif Facebook</t>
  </si>
  <si>
    <t>Étude OCDE</t>
  </si>
  <si>
    <t>C012</t>
  </si>
  <si>
    <t>Applications de méditation</t>
  </si>
  <si>
    <t>C013</t>
  </si>
  <si>
    <t>Utilisation WhatsApp étude</t>
  </si>
  <si>
    <t>C014</t>
  </si>
  <si>
    <t>Jeux mobiles journée</t>
  </si>
  <si>
    <t>C015</t>
  </si>
  <si>
    <t>Podcast éducatif</t>
  </si>
  <si>
    <t>C016</t>
  </si>
  <si>
    <t>Achats en ligne fréquents</t>
  </si>
  <si>
    <t>C017</t>
  </si>
  <si>
    <t>Dépendance aux stories</t>
  </si>
  <si>
    <t>C018</t>
  </si>
  <si>
    <t>Utilisation Kahoot révision</t>
  </si>
  <si>
    <t>C019</t>
  </si>
  <si>
    <t>Cyberbullying observé</t>
  </si>
  <si>
    <t>C020</t>
  </si>
  <si>
    <t>Veille technologique</t>
  </si>
  <si>
    <t>Nombre</t>
  </si>
  <si>
    <t>profil</t>
  </si>
  <si>
    <t>nombre</t>
  </si>
  <si>
    <t>Intensif</t>
  </si>
  <si>
    <t>Faible</t>
  </si>
  <si>
    <t>Moyenne</t>
  </si>
  <si>
    <t xml:space="preserve"> Alerte</t>
  </si>
  <si>
    <t>OUI</t>
  </si>
  <si>
    <t>NON</t>
  </si>
  <si>
    <t>Moy_IA</t>
  </si>
  <si>
    <t xml:space="preserve"> Filière</t>
  </si>
  <si>
    <t xml:space="preserve"> Dispositif</t>
  </si>
  <si>
    <t>Tableau de Bord — Analyse des Habitudes Numériques des Étudiants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</si>
</sst>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Times New Roman"/>
      <family val="1"/>
    </font>
    <font>
      <b/>
      <sz val="16"/>
      <color theme="3" tint="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0" fillId="0" borderId="1" xfId="0" applyBorder="1" applyAlignment="1"/>
    <xf numFmtId="14" fontId="0" fillId="0" borderId="1" xfId="0" applyNumberForma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" xfId="0" applyFont="1" applyFill="1" applyBorder="1" applyAlignment="1"/>
    <xf numFmtId="0" fontId="0" fillId="0" borderId="2" xfId="0" applyBorder="1" applyAlignment="1"/>
    <xf numFmtId="14" fontId="0" fillId="0" borderId="8" xfId="0" applyNumberFormat="1" applyBorder="1" applyAlignment="1">
      <alignment horizontal="center"/>
    </xf>
    <xf numFmtId="0" fontId="0" fillId="0" borderId="8" xfId="0" applyBorder="1" applyAlignment="1"/>
    <xf numFmtId="0" fontId="0" fillId="4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 tint="0.39997558519241921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étudiants par Filière</a:t>
            </a:r>
          </a:p>
        </c:rich>
      </c:tx>
      <c:layout>
        <c:manualLayout>
          <c:xMode val="edge"/>
          <c:yMode val="edge"/>
          <c:x val="0.10374397556426274"/>
          <c:y val="3.4582132564841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Répondants!$I$1</c:f>
              <c:strCache>
                <c:ptCount val="1"/>
                <c:pt idx="0">
                  <c:v>Nombre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05-4568-A603-9EBB0C52EB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05-4568-A603-9EBB0C52EB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05-4568-A603-9EBB0C52EB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Répondants!$H$2:$H$4</c:f>
              <c:strCache>
                <c:ptCount val="3"/>
                <c:pt idx="0">
                  <c:v>MMSD</c:v>
                </c:pt>
                <c:pt idx="1">
                  <c:v>Informatique</c:v>
                </c:pt>
                <c:pt idx="2">
                  <c:v>Physique</c:v>
                </c:pt>
              </c:strCache>
            </c:strRef>
          </c:cat>
          <c:val>
            <c:numRef>
              <c:f>Répondants!$I$2:$I$4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4-4E6C-9699-EB48330C6A4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par Dispositif Principal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Répondants!$I$6</c:f>
              <c:strCache>
                <c:ptCount val="1"/>
                <c:pt idx="0">
                  <c:v>Nombre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16-445A-9319-FF75F99BC0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16-445A-9319-FF75F99BC0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16-445A-9319-FF75F99BC0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16-445A-9319-FF75F99BC0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Répondants!$H$7:$H$10</c:f>
              <c:strCache>
                <c:ptCount val="4"/>
                <c:pt idx="0">
                  <c:v>Smartphone</c:v>
                </c:pt>
                <c:pt idx="1">
                  <c:v>PC</c:v>
                </c:pt>
                <c:pt idx="2">
                  <c:v>Tablette</c:v>
                </c:pt>
                <c:pt idx="3">
                  <c:v>Mixte</c:v>
                </c:pt>
              </c:strCache>
            </c:strRef>
          </c:cat>
          <c:val>
            <c:numRef>
              <c:f>Répondants!$I$7:$I$10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A-4D74-A788-F37BD15C28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Heures d'étude par relevé</a:t>
            </a:r>
          </a:p>
        </c:rich>
      </c:tx>
      <c:layout>
        <c:manualLayout>
          <c:xMode val="edge"/>
          <c:yMode val="edge"/>
          <c:x val="0.2383748906386701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'Données de l''Enquête '!$F$1</c:f>
              <c:strCache>
                <c:ptCount val="1"/>
                <c:pt idx="0">
                  <c:v>Heures_Etude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166666666666668E-2"/>
                      <c:h val="1.84492563429571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777-4299-ACA2-2AC3D87C8A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'Données de l''Enquête '!$F$2:$F$41</c:f>
              <c:numCache>
                <c:formatCode>General</c:formatCode>
                <c:ptCount val="40"/>
                <c:pt idx="0">
                  <c:v>22.5</c:v>
                </c:pt>
                <c:pt idx="1">
                  <c:v>8.3000000000000007</c:v>
                </c:pt>
                <c:pt idx="2">
                  <c:v>25.1</c:v>
                </c:pt>
                <c:pt idx="3">
                  <c:v>6.5</c:v>
                </c:pt>
                <c:pt idx="4">
                  <c:v>19.8</c:v>
                </c:pt>
                <c:pt idx="5">
                  <c:v>11.2</c:v>
                </c:pt>
                <c:pt idx="6">
                  <c:v>27.3</c:v>
                </c:pt>
                <c:pt idx="7">
                  <c:v>5.2</c:v>
                </c:pt>
                <c:pt idx="8">
                  <c:v>21</c:v>
                </c:pt>
                <c:pt idx="9">
                  <c:v>9.6999999999999993</c:v>
                </c:pt>
                <c:pt idx="10">
                  <c:v>23.5</c:v>
                </c:pt>
                <c:pt idx="11">
                  <c:v>7.1</c:v>
                </c:pt>
                <c:pt idx="12">
                  <c:v>18.5</c:v>
                </c:pt>
                <c:pt idx="13">
                  <c:v>12.8</c:v>
                </c:pt>
                <c:pt idx="14">
                  <c:v>26</c:v>
                </c:pt>
                <c:pt idx="15">
                  <c:v>6.8</c:v>
                </c:pt>
                <c:pt idx="16">
                  <c:v>20.5</c:v>
                </c:pt>
                <c:pt idx="17">
                  <c:v>8.9</c:v>
                </c:pt>
                <c:pt idx="18">
                  <c:v>24.2</c:v>
                </c:pt>
                <c:pt idx="19">
                  <c:v>7.5</c:v>
                </c:pt>
                <c:pt idx="20">
                  <c:v>19.2</c:v>
                </c:pt>
                <c:pt idx="21">
                  <c:v>11.5</c:v>
                </c:pt>
                <c:pt idx="22">
                  <c:v>25.8</c:v>
                </c:pt>
                <c:pt idx="23">
                  <c:v>6.2</c:v>
                </c:pt>
                <c:pt idx="24">
                  <c:v>18</c:v>
                </c:pt>
                <c:pt idx="25">
                  <c:v>13.1</c:v>
                </c:pt>
                <c:pt idx="26">
                  <c:v>22.8</c:v>
                </c:pt>
                <c:pt idx="27">
                  <c:v>8</c:v>
                </c:pt>
                <c:pt idx="28">
                  <c:v>24.8</c:v>
                </c:pt>
                <c:pt idx="29">
                  <c:v>7.8</c:v>
                </c:pt>
                <c:pt idx="30">
                  <c:v>20.100000000000001</c:v>
                </c:pt>
                <c:pt idx="31">
                  <c:v>9.3000000000000007</c:v>
                </c:pt>
                <c:pt idx="32">
                  <c:v>23.1</c:v>
                </c:pt>
                <c:pt idx="33">
                  <c:v>6.9</c:v>
                </c:pt>
                <c:pt idx="34">
                  <c:v>19.5</c:v>
                </c:pt>
                <c:pt idx="35">
                  <c:v>12</c:v>
                </c:pt>
                <c:pt idx="36">
                  <c:v>25.5</c:v>
                </c:pt>
                <c:pt idx="37">
                  <c:v>7.3</c:v>
                </c:pt>
                <c:pt idx="38">
                  <c:v>18.8</c:v>
                </c:pt>
                <c:pt idx="39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7-4299-ACA2-2AC3D87C8A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95"/>
        <c:overlap val="-12"/>
        <c:axId val="830113935"/>
        <c:axId val="830107695"/>
      </c:barChart>
      <c:catAx>
        <c:axId val="830113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07695"/>
        <c:crosses val="autoZero"/>
        <c:auto val="1"/>
        <c:lblAlgn val="ctr"/>
        <c:lblOffset val="100"/>
        <c:noMultiLvlLbl val="0"/>
      </c:catAx>
      <c:valAx>
        <c:axId val="83010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1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Répartition des Profils Numériques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'Données de l''Enquête '!$P$1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'Données de l''Enquête '!$O$2:$O$4</c:f>
              <c:strCache>
                <c:ptCount val="3"/>
                <c:pt idx="0">
                  <c:v>Intensif</c:v>
                </c:pt>
                <c:pt idx="1">
                  <c:v>Modéré</c:v>
                </c:pt>
                <c:pt idx="2">
                  <c:v>Faible</c:v>
                </c:pt>
              </c:strCache>
            </c:strRef>
          </c:cat>
          <c:val>
            <c:numRef>
              <c:f>'Données de l''Enquête '!$P$2:$P$4</c:f>
              <c:numCache>
                <c:formatCode>General</c:formatCode>
                <c:ptCount val="3"/>
                <c:pt idx="0">
                  <c:v>17</c:v>
                </c:pt>
                <c:pt idx="1">
                  <c:v>9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0-4DEE-A2D4-B18204881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9478927"/>
        <c:axId val="919483727"/>
      </c:barChart>
      <c:catAx>
        <c:axId val="919478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83727"/>
        <c:crosses val="autoZero"/>
        <c:auto val="1"/>
        <c:lblAlgn val="ctr"/>
        <c:lblOffset val="100"/>
        <c:noMultiLvlLbl val="0"/>
      </c:catAx>
      <c:valAx>
        <c:axId val="91948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7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d'engagement par relevé</a:t>
            </a:r>
          </a:p>
        </c:rich>
      </c:tx>
      <c:layout>
        <c:manualLayout>
          <c:xMode val="edge"/>
          <c:yMode val="edge"/>
          <c:x val="0.29443244198839141"/>
          <c:y val="4.68594916298616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188096379204279E-2"/>
          <c:y val="0.16620637180154577"/>
          <c:w val="0.90148770987737681"/>
          <c:h val="0.70645357202635695"/>
        </c:manualLayout>
      </c:layout>
      <c:lineChart>
        <c:grouping val="standard"/>
        <c:varyColors val="0"/>
        <c:ser>
          <c:idx val="0"/>
          <c:order val="0"/>
          <c:tx>
            <c:strRef>
              <c:f>'Données de l''Enquête '!$J$1</c:f>
              <c:strCache>
                <c:ptCount val="1"/>
                <c:pt idx="0">
                  <c:v>Score_Engagement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'Données de l''Enquête '!$J$2:$J$41</c:f>
              <c:numCache>
                <c:formatCode>General</c:formatCode>
                <c:ptCount val="40"/>
                <c:pt idx="0">
                  <c:v>8.1999999999999993</c:v>
                </c:pt>
                <c:pt idx="1">
                  <c:v>3.5</c:v>
                </c:pt>
                <c:pt idx="2">
                  <c:v>9.1999999999999993</c:v>
                </c:pt>
                <c:pt idx="3">
                  <c:v>3.3</c:v>
                </c:pt>
                <c:pt idx="4">
                  <c:v>7.4</c:v>
                </c:pt>
                <c:pt idx="5">
                  <c:v>4.4000000000000004</c:v>
                </c:pt>
                <c:pt idx="6">
                  <c:v>10</c:v>
                </c:pt>
                <c:pt idx="7">
                  <c:v>2.2000000000000002</c:v>
                </c:pt>
                <c:pt idx="8">
                  <c:v>7.8</c:v>
                </c:pt>
                <c:pt idx="9">
                  <c:v>3.6</c:v>
                </c:pt>
                <c:pt idx="10">
                  <c:v>8.6</c:v>
                </c:pt>
                <c:pt idx="11">
                  <c:v>3</c:v>
                </c:pt>
                <c:pt idx="12">
                  <c:v>6.9</c:v>
                </c:pt>
                <c:pt idx="13">
                  <c:v>4.9000000000000004</c:v>
                </c:pt>
                <c:pt idx="14">
                  <c:v>9.5</c:v>
                </c:pt>
                <c:pt idx="15">
                  <c:v>2.8</c:v>
                </c:pt>
                <c:pt idx="16">
                  <c:v>7.7</c:v>
                </c:pt>
                <c:pt idx="17">
                  <c:v>3.6</c:v>
                </c:pt>
                <c:pt idx="18">
                  <c:v>8.9</c:v>
                </c:pt>
                <c:pt idx="19">
                  <c:v>3.2</c:v>
                </c:pt>
                <c:pt idx="20">
                  <c:v>7.1</c:v>
                </c:pt>
                <c:pt idx="21">
                  <c:v>4.4000000000000004</c:v>
                </c:pt>
                <c:pt idx="22">
                  <c:v>9.5</c:v>
                </c:pt>
                <c:pt idx="23">
                  <c:v>2.6</c:v>
                </c:pt>
                <c:pt idx="24">
                  <c:v>6.7</c:v>
                </c:pt>
                <c:pt idx="25">
                  <c:v>4.9000000000000004</c:v>
                </c:pt>
                <c:pt idx="26">
                  <c:v>8.4</c:v>
                </c:pt>
                <c:pt idx="27">
                  <c:v>3.2</c:v>
                </c:pt>
                <c:pt idx="28">
                  <c:v>9.1</c:v>
                </c:pt>
                <c:pt idx="29">
                  <c:v>3.2</c:v>
                </c:pt>
                <c:pt idx="30">
                  <c:v>7.5</c:v>
                </c:pt>
                <c:pt idx="31">
                  <c:v>3.8</c:v>
                </c:pt>
                <c:pt idx="32">
                  <c:v>8.5</c:v>
                </c:pt>
                <c:pt idx="33">
                  <c:v>2.8</c:v>
                </c:pt>
                <c:pt idx="34">
                  <c:v>7.2</c:v>
                </c:pt>
                <c:pt idx="35">
                  <c:v>4.5</c:v>
                </c:pt>
                <c:pt idx="36">
                  <c:v>9.4</c:v>
                </c:pt>
                <c:pt idx="37">
                  <c:v>3.1</c:v>
                </c:pt>
                <c:pt idx="38">
                  <c:v>7</c:v>
                </c:pt>
                <c:pt idx="39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3-4728-88A4-818B90FA5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523535"/>
        <c:axId val="820516335"/>
      </c:lineChart>
      <c:catAx>
        <c:axId val="820523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16335"/>
        <c:crosses val="autoZero"/>
        <c:auto val="1"/>
        <c:lblAlgn val="ctr"/>
        <c:lblOffset val="100"/>
        <c:noMultiLvlLbl val="0"/>
      </c:catAx>
      <c:valAx>
        <c:axId val="82051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2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Comparaison des variables numériques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'Données de l''Enquête '!$S$1</c:f>
              <c:strCache>
                <c:ptCount val="1"/>
                <c:pt idx="0">
                  <c:v>Moyenne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'Données de l''Enquête '!$R$2:$R$5</c:f>
              <c:strCache>
                <c:ptCount val="4"/>
                <c:pt idx="0">
                  <c:v>Heures_Etude</c:v>
                </c:pt>
                <c:pt idx="1">
                  <c:v>Utilisation_IA</c:v>
                </c:pt>
                <c:pt idx="2">
                  <c:v>Temps_RS</c:v>
                </c:pt>
                <c:pt idx="3">
                  <c:v>Heures_Sommeil</c:v>
                </c:pt>
              </c:strCache>
            </c:strRef>
          </c:cat>
          <c:val>
            <c:numRef>
              <c:f>'Données de l''Enquête '!$S$2:$S$5</c:f>
              <c:numCache>
                <c:formatCode>General</c:formatCode>
                <c:ptCount val="4"/>
                <c:pt idx="0">
                  <c:v>15.6</c:v>
                </c:pt>
                <c:pt idx="1">
                  <c:v>8.3000000000000007</c:v>
                </c:pt>
                <c:pt idx="2">
                  <c:v>4.2</c:v>
                </c:pt>
                <c:pt idx="3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2-4050-9276-AED5BCB74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56271"/>
        <c:axId val="445055791"/>
      </c:radarChart>
      <c:catAx>
        <c:axId val="44505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55791"/>
        <c:crosses val="autoZero"/>
        <c:auto val="1"/>
        <c:lblAlgn val="ctr"/>
        <c:lblOffset val="100"/>
        <c:noMultiLvlLbl val="0"/>
      </c:catAx>
      <c:valAx>
        <c:axId val="44505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5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Alertes Dépendance Numérique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839383599503099E-2"/>
          <c:y val="0.15664671117996917"/>
          <c:w val="0.8668884638795199"/>
          <c:h val="0.723337426704652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'Données de l''Enquête '!$V$1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'Données de l''Enquête '!$U$2:$U$3</c:f>
              <c:strCache>
                <c:ptCount val="2"/>
                <c:pt idx="0">
                  <c:v>OUI</c:v>
                </c:pt>
                <c:pt idx="1">
                  <c:v>NON</c:v>
                </c:pt>
              </c:strCache>
            </c:strRef>
          </c:cat>
          <c:val>
            <c:numRef>
              <c:f>'Données de l''Enquête '!$V$2:$V$3</c:f>
              <c:numCache>
                <c:formatCode>General</c:formatCode>
                <c:ptCount val="2"/>
                <c:pt idx="0">
                  <c:v>15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3-4C4A-8789-374112761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9034271"/>
        <c:axId val="509036671"/>
      </c:barChart>
      <c:catAx>
        <c:axId val="509034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36671"/>
        <c:crosses val="autoZero"/>
        <c:auto val="1"/>
        <c:lblAlgn val="ctr"/>
        <c:lblOffset val="100"/>
        <c:noMultiLvlLbl val="0"/>
      </c:catAx>
      <c:valAx>
        <c:axId val="50903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3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Heures d'étude vs Score d'engagement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35416322277633E-2"/>
          <c:y val="0.14905236231978641"/>
          <c:w val="0.890194289057329"/>
          <c:h val="0.728794665024728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'Données de l''Enquête '!$J$1</c:f>
              <c:strCache>
                <c:ptCount val="1"/>
                <c:pt idx="0">
                  <c:v>Score_Engagement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'Données de l''Enquête '!$F$2:$F$41</c:f>
              <c:numCache>
                <c:formatCode>General</c:formatCode>
                <c:ptCount val="40"/>
                <c:pt idx="0">
                  <c:v>22.5</c:v>
                </c:pt>
                <c:pt idx="1">
                  <c:v>8.3000000000000007</c:v>
                </c:pt>
                <c:pt idx="2">
                  <c:v>25.1</c:v>
                </c:pt>
                <c:pt idx="3">
                  <c:v>6.5</c:v>
                </c:pt>
                <c:pt idx="4">
                  <c:v>19.8</c:v>
                </c:pt>
                <c:pt idx="5">
                  <c:v>11.2</c:v>
                </c:pt>
                <c:pt idx="6">
                  <c:v>27.3</c:v>
                </c:pt>
                <c:pt idx="7">
                  <c:v>5.2</c:v>
                </c:pt>
                <c:pt idx="8">
                  <c:v>21</c:v>
                </c:pt>
                <c:pt idx="9">
                  <c:v>9.6999999999999993</c:v>
                </c:pt>
                <c:pt idx="10">
                  <c:v>23.5</c:v>
                </c:pt>
                <c:pt idx="11">
                  <c:v>7.1</c:v>
                </c:pt>
                <c:pt idx="12">
                  <c:v>18.5</c:v>
                </c:pt>
                <c:pt idx="13">
                  <c:v>12.8</c:v>
                </c:pt>
                <c:pt idx="14">
                  <c:v>26</c:v>
                </c:pt>
                <c:pt idx="15">
                  <c:v>6.8</c:v>
                </c:pt>
                <c:pt idx="16">
                  <c:v>20.5</c:v>
                </c:pt>
                <c:pt idx="17">
                  <c:v>8.9</c:v>
                </c:pt>
                <c:pt idx="18">
                  <c:v>24.2</c:v>
                </c:pt>
                <c:pt idx="19">
                  <c:v>7.5</c:v>
                </c:pt>
                <c:pt idx="20">
                  <c:v>19.2</c:v>
                </c:pt>
                <c:pt idx="21">
                  <c:v>11.5</c:v>
                </c:pt>
                <c:pt idx="22">
                  <c:v>25.8</c:v>
                </c:pt>
                <c:pt idx="23">
                  <c:v>6.2</c:v>
                </c:pt>
                <c:pt idx="24">
                  <c:v>18</c:v>
                </c:pt>
                <c:pt idx="25">
                  <c:v>13.1</c:v>
                </c:pt>
                <c:pt idx="26">
                  <c:v>22.8</c:v>
                </c:pt>
                <c:pt idx="27">
                  <c:v>8</c:v>
                </c:pt>
                <c:pt idx="28">
                  <c:v>24.8</c:v>
                </c:pt>
                <c:pt idx="29">
                  <c:v>7.8</c:v>
                </c:pt>
                <c:pt idx="30">
                  <c:v>20.100000000000001</c:v>
                </c:pt>
                <c:pt idx="31">
                  <c:v>9.3000000000000007</c:v>
                </c:pt>
                <c:pt idx="32">
                  <c:v>23.1</c:v>
                </c:pt>
                <c:pt idx="33">
                  <c:v>6.9</c:v>
                </c:pt>
                <c:pt idx="34">
                  <c:v>19.5</c:v>
                </c:pt>
                <c:pt idx="35">
                  <c:v>12</c:v>
                </c:pt>
                <c:pt idx="36">
                  <c:v>25.5</c:v>
                </c:pt>
                <c:pt idx="37">
                  <c:v>7.3</c:v>
                </c:pt>
                <c:pt idx="38">
                  <c:v>18.8</c:v>
                </c:pt>
                <c:pt idx="39">
                  <c:v>10.5</c:v>
                </c:pt>
              </c:numCache>
            </c:numRef>
          </c:xVal>
          <c:yVal>
            <c:numRef>
              <c:f>'Données de l''Enquête '!$J$2:$J$41</c:f>
              <c:numCache>
                <c:formatCode>General</c:formatCode>
                <c:ptCount val="40"/>
                <c:pt idx="0">
                  <c:v>8.1999999999999993</c:v>
                </c:pt>
                <c:pt idx="1">
                  <c:v>3.5</c:v>
                </c:pt>
                <c:pt idx="2">
                  <c:v>9.1999999999999993</c:v>
                </c:pt>
                <c:pt idx="3">
                  <c:v>3.3</c:v>
                </c:pt>
                <c:pt idx="4">
                  <c:v>7.4</c:v>
                </c:pt>
                <c:pt idx="5">
                  <c:v>4.4000000000000004</c:v>
                </c:pt>
                <c:pt idx="6">
                  <c:v>10</c:v>
                </c:pt>
                <c:pt idx="7">
                  <c:v>2.2000000000000002</c:v>
                </c:pt>
                <c:pt idx="8">
                  <c:v>7.8</c:v>
                </c:pt>
                <c:pt idx="9">
                  <c:v>3.6</c:v>
                </c:pt>
                <c:pt idx="10">
                  <c:v>8.6</c:v>
                </c:pt>
                <c:pt idx="11">
                  <c:v>3</c:v>
                </c:pt>
                <c:pt idx="12">
                  <c:v>6.9</c:v>
                </c:pt>
                <c:pt idx="13">
                  <c:v>4.9000000000000004</c:v>
                </c:pt>
                <c:pt idx="14">
                  <c:v>9.5</c:v>
                </c:pt>
                <c:pt idx="15">
                  <c:v>2.8</c:v>
                </c:pt>
                <c:pt idx="16">
                  <c:v>7.7</c:v>
                </c:pt>
                <c:pt idx="17">
                  <c:v>3.6</c:v>
                </c:pt>
                <c:pt idx="18">
                  <c:v>8.9</c:v>
                </c:pt>
                <c:pt idx="19">
                  <c:v>3.2</c:v>
                </c:pt>
                <c:pt idx="20">
                  <c:v>7.1</c:v>
                </c:pt>
                <c:pt idx="21">
                  <c:v>4.4000000000000004</c:v>
                </c:pt>
                <c:pt idx="22">
                  <c:v>9.5</c:v>
                </c:pt>
                <c:pt idx="23">
                  <c:v>2.6</c:v>
                </c:pt>
                <c:pt idx="24">
                  <c:v>6.7</c:v>
                </c:pt>
                <c:pt idx="25">
                  <c:v>4.9000000000000004</c:v>
                </c:pt>
                <c:pt idx="26">
                  <c:v>8.4</c:v>
                </c:pt>
                <c:pt idx="27">
                  <c:v>3.2</c:v>
                </c:pt>
                <c:pt idx="28">
                  <c:v>9.1</c:v>
                </c:pt>
                <c:pt idx="29">
                  <c:v>3.2</c:v>
                </c:pt>
                <c:pt idx="30">
                  <c:v>7.5</c:v>
                </c:pt>
                <c:pt idx="31">
                  <c:v>3.8</c:v>
                </c:pt>
                <c:pt idx="32">
                  <c:v>8.5</c:v>
                </c:pt>
                <c:pt idx="33">
                  <c:v>2.8</c:v>
                </c:pt>
                <c:pt idx="34">
                  <c:v>7.2</c:v>
                </c:pt>
                <c:pt idx="35">
                  <c:v>4.5</c:v>
                </c:pt>
                <c:pt idx="36">
                  <c:v>9.4</c:v>
                </c:pt>
                <c:pt idx="37">
                  <c:v>3.1</c:v>
                </c:pt>
                <c:pt idx="38">
                  <c:v>7</c:v>
                </c:pt>
                <c:pt idx="39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0D-4477-AC2F-D39DA14AE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518255"/>
        <c:axId val="820511535"/>
      </c:scatterChart>
      <c:valAx>
        <c:axId val="82051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11535"/>
        <c:crosses val="autoZero"/>
        <c:crossBetween val="midCat"/>
      </c:valAx>
      <c:valAx>
        <c:axId val="82051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1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Utilisation de l'IA par Filière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'Données de l''Enquête '!$Y$1</c:f>
              <c:strCache>
                <c:ptCount val="1"/>
                <c:pt idx="0">
                  <c:v>Moy_IA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'Données de l''Enquête '!$X$2:$X$4</c:f>
              <c:strCache>
                <c:ptCount val="3"/>
                <c:pt idx="0">
                  <c:v>MMSD</c:v>
                </c:pt>
                <c:pt idx="1">
                  <c:v>Informatique</c:v>
                </c:pt>
                <c:pt idx="2">
                  <c:v>Physique</c:v>
                </c:pt>
              </c:strCache>
            </c:strRef>
          </c:cat>
          <c:val>
            <c:numRef>
              <c:f>'Données de l''Enquête '!$Y$2:$Y$4</c:f>
              <c:numCache>
                <c:formatCode>General</c:formatCode>
                <c:ptCount val="3"/>
                <c:pt idx="0">
                  <c:v>8.4</c:v>
                </c:pt>
                <c:pt idx="1">
                  <c:v>7.8</c:v>
                </c:pt>
                <c:pt idx="2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8-4322-84C1-33879427A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220431"/>
        <c:axId val="995231951"/>
      </c:barChart>
      <c:catAx>
        <c:axId val="99522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31951"/>
        <c:crosses val="autoZero"/>
        <c:auto val="1"/>
        <c:lblAlgn val="ctr"/>
        <c:lblOffset val="100"/>
        <c:noMultiLvlLbl val="0"/>
      </c:catAx>
      <c:valAx>
        <c:axId val="99523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2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Heures de sommeil par relevé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'Données de l''Enquête '!$I$1</c:f>
              <c:strCache>
                <c:ptCount val="1"/>
                <c:pt idx="0">
                  <c:v>Heures_Sommeil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'Données de l''Enquête '!$I$2:$I$41</c:f>
              <c:numCache>
                <c:formatCode>General</c:formatCode>
                <c:ptCount val="40"/>
                <c:pt idx="0">
                  <c:v>7.5</c:v>
                </c:pt>
                <c:pt idx="1">
                  <c:v>5.5</c:v>
                </c:pt>
                <c:pt idx="2">
                  <c:v>8</c:v>
                </c:pt>
                <c:pt idx="3">
                  <c:v>4.5</c:v>
                </c:pt>
                <c:pt idx="4">
                  <c:v>7</c:v>
                </c:pt>
                <c:pt idx="5">
                  <c:v>6.5</c:v>
                </c:pt>
                <c:pt idx="6">
                  <c:v>8.5</c:v>
                </c:pt>
                <c:pt idx="7">
                  <c:v>4</c:v>
                </c:pt>
                <c:pt idx="8">
                  <c:v>7.8</c:v>
                </c:pt>
                <c:pt idx="9">
                  <c:v>5</c:v>
                </c:pt>
                <c:pt idx="10">
                  <c:v>8.1999999999999993</c:v>
                </c:pt>
                <c:pt idx="11">
                  <c:v>4.8</c:v>
                </c:pt>
                <c:pt idx="12">
                  <c:v>7.3</c:v>
                </c:pt>
                <c:pt idx="13">
                  <c:v>6.2</c:v>
                </c:pt>
                <c:pt idx="14">
                  <c:v>8.8000000000000007</c:v>
                </c:pt>
                <c:pt idx="15">
                  <c:v>4.2</c:v>
                </c:pt>
                <c:pt idx="16">
                  <c:v>7.6</c:v>
                </c:pt>
                <c:pt idx="17">
                  <c:v>5.3</c:v>
                </c:pt>
                <c:pt idx="18">
                  <c:v>8.1</c:v>
                </c:pt>
                <c:pt idx="19">
                  <c:v>4.5999999999999996</c:v>
                </c:pt>
                <c:pt idx="20">
                  <c:v>7.1</c:v>
                </c:pt>
                <c:pt idx="21">
                  <c:v>6</c:v>
                </c:pt>
                <c:pt idx="22">
                  <c:v>8.6</c:v>
                </c:pt>
                <c:pt idx="23">
                  <c:v>4.3</c:v>
                </c:pt>
                <c:pt idx="24">
                  <c:v>7.2</c:v>
                </c:pt>
                <c:pt idx="25">
                  <c:v>6.3</c:v>
                </c:pt>
                <c:pt idx="26">
                  <c:v>7.9</c:v>
                </c:pt>
                <c:pt idx="27">
                  <c:v>5.0999999999999996</c:v>
                </c:pt>
                <c:pt idx="28">
                  <c:v>8.4</c:v>
                </c:pt>
                <c:pt idx="29">
                  <c:v>4.9000000000000004</c:v>
                </c:pt>
                <c:pt idx="30">
                  <c:v>7.7</c:v>
                </c:pt>
                <c:pt idx="31">
                  <c:v>5.4</c:v>
                </c:pt>
                <c:pt idx="32">
                  <c:v>8</c:v>
                </c:pt>
                <c:pt idx="33">
                  <c:v>4.4000000000000004</c:v>
                </c:pt>
                <c:pt idx="34">
                  <c:v>7</c:v>
                </c:pt>
                <c:pt idx="35">
                  <c:v>6.1</c:v>
                </c:pt>
                <c:pt idx="36">
                  <c:v>8.6999999999999993</c:v>
                </c:pt>
                <c:pt idx="37">
                  <c:v>4.7</c:v>
                </c:pt>
                <c:pt idx="38">
                  <c:v>7.4</c:v>
                </c:pt>
                <c:pt idx="39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A-4EA8-BEB0-0BBBDDC035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7946943"/>
        <c:axId val="337947903"/>
      </c:barChart>
      <c:catAx>
        <c:axId val="337946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47903"/>
        <c:crosses val="autoZero"/>
        <c:auto val="1"/>
        <c:lblAlgn val="ctr"/>
        <c:lblOffset val="100"/>
        <c:noMultiLvlLbl val="0"/>
      </c:catAx>
      <c:valAx>
        <c:axId val="3379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4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étudiants par Filière</a:t>
            </a:r>
          </a:p>
        </c:rich>
      </c:tx>
      <c:layout>
        <c:manualLayout>
          <c:xMode val="edge"/>
          <c:yMode val="edge"/>
          <c:x val="0.10374397556426274"/>
          <c:y val="3.4582132564841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Répondants!$I$1</c:f>
              <c:strCache>
                <c:ptCount val="1"/>
                <c:pt idx="0">
                  <c:v>Nombre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D7-435D-B46F-47599E6B0C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D7-435D-B46F-47599E6B0C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D7-435D-B46F-47599E6B0C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Répondants!$H$2:$H$4</c:f>
              <c:strCache>
                <c:ptCount val="3"/>
                <c:pt idx="0">
                  <c:v>MMSD</c:v>
                </c:pt>
                <c:pt idx="1">
                  <c:v>Informatique</c:v>
                </c:pt>
                <c:pt idx="2">
                  <c:v>Physique</c:v>
                </c:pt>
              </c:strCache>
            </c:strRef>
          </c:cat>
          <c:val>
            <c:numRef>
              <c:f>Répondants!$I$2:$I$4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D7-435D-B46F-47599E6B0CD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par Dispositif Principal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Répondants!$I$6</c:f>
              <c:strCache>
                <c:ptCount val="1"/>
                <c:pt idx="0">
                  <c:v>Nombre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B8-4C9A-84E5-DB06A5EA00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B8-4C9A-84E5-DB06A5EA00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B8-4C9A-84E5-DB06A5EA00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B8-4C9A-84E5-DB06A5EA00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Répondants!$H$7:$H$10</c:f>
              <c:strCache>
                <c:ptCount val="4"/>
                <c:pt idx="0">
                  <c:v>Smartphone</c:v>
                </c:pt>
                <c:pt idx="1">
                  <c:v>PC</c:v>
                </c:pt>
                <c:pt idx="2">
                  <c:v>Tablette</c:v>
                </c:pt>
                <c:pt idx="3">
                  <c:v>Mixte</c:v>
                </c:pt>
              </c:strCache>
            </c:strRef>
          </c:cat>
          <c:val>
            <c:numRef>
              <c:f>Répondants!$I$7:$I$10</c:f>
              <c:numCache>
                <c:formatCode>General</c:formatCode>
                <c:ptCount val="4"/>
                <c:pt idx="0">
                  <c:v>9</c:v>
                </c:pt>
                <c:pt idx="1">
                  <c:v>10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B8-4C9A-84E5-DB06A5EA00A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Heures d'étude par relevé</a:t>
            </a:r>
          </a:p>
        </c:rich>
      </c:tx>
      <c:layout>
        <c:manualLayout>
          <c:xMode val="edge"/>
          <c:yMode val="edge"/>
          <c:x val="0.2383748906386701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'Données de l''Enquête '!$F$1</c:f>
              <c:strCache>
                <c:ptCount val="1"/>
                <c:pt idx="0">
                  <c:v>Heures_Etude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166666666666668E-2"/>
                      <c:h val="1.84492563429571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DEE-40F0-946D-62FCB357B7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'Données de l''Enquête '!$F$2:$F$41</c:f>
              <c:numCache>
                <c:formatCode>General</c:formatCode>
                <c:ptCount val="40"/>
                <c:pt idx="0">
                  <c:v>22.5</c:v>
                </c:pt>
                <c:pt idx="1">
                  <c:v>8.3000000000000007</c:v>
                </c:pt>
                <c:pt idx="2">
                  <c:v>25.1</c:v>
                </c:pt>
                <c:pt idx="3">
                  <c:v>6.5</c:v>
                </c:pt>
                <c:pt idx="4">
                  <c:v>19.8</c:v>
                </c:pt>
                <c:pt idx="5">
                  <c:v>11.2</c:v>
                </c:pt>
                <c:pt idx="6">
                  <c:v>27.3</c:v>
                </c:pt>
                <c:pt idx="7">
                  <c:v>5.2</c:v>
                </c:pt>
                <c:pt idx="8">
                  <c:v>21</c:v>
                </c:pt>
                <c:pt idx="9">
                  <c:v>9.6999999999999993</c:v>
                </c:pt>
                <c:pt idx="10">
                  <c:v>23.5</c:v>
                </c:pt>
                <c:pt idx="11">
                  <c:v>7.1</c:v>
                </c:pt>
                <c:pt idx="12">
                  <c:v>18.5</c:v>
                </c:pt>
                <c:pt idx="13">
                  <c:v>12.8</c:v>
                </c:pt>
                <c:pt idx="14">
                  <c:v>26</c:v>
                </c:pt>
                <c:pt idx="15">
                  <c:v>6.8</c:v>
                </c:pt>
                <c:pt idx="16">
                  <c:v>20.5</c:v>
                </c:pt>
                <c:pt idx="17">
                  <c:v>8.9</c:v>
                </c:pt>
                <c:pt idx="18">
                  <c:v>24.2</c:v>
                </c:pt>
                <c:pt idx="19">
                  <c:v>7.5</c:v>
                </c:pt>
                <c:pt idx="20">
                  <c:v>19.2</c:v>
                </c:pt>
                <c:pt idx="21">
                  <c:v>11.5</c:v>
                </c:pt>
                <c:pt idx="22">
                  <c:v>25.8</c:v>
                </c:pt>
                <c:pt idx="23">
                  <c:v>6.2</c:v>
                </c:pt>
                <c:pt idx="24">
                  <c:v>18</c:v>
                </c:pt>
                <c:pt idx="25">
                  <c:v>13.1</c:v>
                </c:pt>
                <c:pt idx="26">
                  <c:v>22.8</c:v>
                </c:pt>
                <c:pt idx="27">
                  <c:v>8</c:v>
                </c:pt>
                <c:pt idx="28">
                  <c:v>24.8</c:v>
                </c:pt>
                <c:pt idx="29">
                  <c:v>7.8</c:v>
                </c:pt>
                <c:pt idx="30">
                  <c:v>20.100000000000001</c:v>
                </c:pt>
                <c:pt idx="31">
                  <c:v>9.3000000000000007</c:v>
                </c:pt>
                <c:pt idx="32">
                  <c:v>23.1</c:v>
                </c:pt>
                <c:pt idx="33">
                  <c:v>6.9</c:v>
                </c:pt>
                <c:pt idx="34">
                  <c:v>19.5</c:v>
                </c:pt>
                <c:pt idx="35">
                  <c:v>12</c:v>
                </c:pt>
                <c:pt idx="36">
                  <c:v>25.5</c:v>
                </c:pt>
                <c:pt idx="37">
                  <c:v>7.3</c:v>
                </c:pt>
                <c:pt idx="38">
                  <c:v>18.8</c:v>
                </c:pt>
                <c:pt idx="39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EE-40F0-946D-62FCB357B7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95"/>
        <c:overlap val="-12"/>
        <c:axId val="830113935"/>
        <c:axId val="830107695"/>
      </c:barChart>
      <c:catAx>
        <c:axId val="830113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07695"/>
        <c:crosses val="autoZero"/>
        <c:auto val="1"/>
        <c:lblAlgn val="ctr"/>
        <c:lblOffset val="100"/>
        <c:noMultiLvlLbl val="0"/>
      </c:catAx>
      <c:valAx>
        <c:axId val="83010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1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Répartition des Profils Numériques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'Données de l''Enquête '!$P$1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'Données de l''Enquête '!$O$2:$O$4</c:f>
              <c:strCache>
                <c:ptCount val="3"/>
                <c:pt idx="0">
                  <c:v>Intensif</c:v>
                </c:pt>
                <c:pt idx="1">
                  <c:v>Modéré</c:v>
                </c:pt>
                <c:pt idx="2">
                  <c:v>Faible</c:v>
                </c:pt>
              </c:strCache>
            </c:strRef>
          </c:cat>
          <c:val>
            <c:numRef>
              <c:f>'Données de l''Enquête '!$P$2:$P$4</c:f>
              <c:numCache>
                <c:formatCode>General</c:formatCode>
                <c:ptCount val="3"/>
                <c:pt idx="0">
                  <c:v>17</c:v>
                </c:pt>
                <c:pt idx="1">
                  <c:v>9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9-4755-BD99-F6DA2B036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9478927"/>
        <c:axId val="919483727"/>
      </c:barChart>
      <c:catAx>
        <c:axId val="919478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83727"/>
        <c:crosses val="autoZero"/>
        <c:auto val="1"/>
        <c:lblAlgn val="ctr"/>
        <c:lblOffset val="100"/>
        <c:noMultiLvlLbl val="0"/>
      </c:catAx>
      <c:valAx>
        <c:axId val="91948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7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Comparaison des variables numériques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88860753477587"/>
          <c:y val="0.24187590541420773"/>
          <c:w val="0.41838643797010089"/>
          <c:h val="0.68862213069254508"/>
        </c:manualLayout>
      </c:layout>
      <c:radarChart>
        <c:radarStyle val="marker"/>
        <c:varyColors val="0"/>
        <c:ser>
          <c:idx val="0"/>
          <c:order val="0"/>
          <c:tx>
            <c:strRef>
              <c:f>'Données de l''Enquête '!$S$1</c:f>
              <c:strCache>
                <c:ptCount val="1"/>
                <c:pt idx="0">
                  <c:v>Moyenne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'Données de l''Enquête '!$R$2:$R$5</c:f>
              <c:strCache>
                <c:ptCount val="4"/>
                <c:pt idx="0">
                  <c:v>Heures_Etude</c:v>
                </c:pt>
                <c:pt idx="1">
                  <c:v>Utilisation_IA</c:v>
                </c:pt>
                <c:pt idx="2">
                  <c:v>Temps_RS</c:v>
                </c:pt>
                <c:pt idx="3">
                  <c:v>Heures_Sommeil</c:v>
                </c:pt>
              </c:strCache>
            </c:strRef>
          </c:cat>
          <c:val>
            <c:numRef>
              <c:f>'Données de l''Enquête '!$S$2:$S$5</c:f>
              <c:numCache>
                <c:formatCode>General</c:formatCode>
                <c:ptCount val="4"/>
                <c:pt idx="0">
                  <c:v>15.6</c:v>
                </c:pt>
                <c:pt idx="1">
                  <c:v>8.3000000000000007</c:v>
                </c:pt>
                <c:pt idx="2">
                  <c:v>4.2</c:v>
                </c:pt>
                <c:pt idx="3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A-4DE3-8543-F668C5869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56271"/>
        <c:axId val="445055791"/>
      </c:radarChart>
      <c:catAx>
        <c:axId val="44505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55791"/>
        <c:crosses val="autoZero"/>
        <c:auto val="1"/>
        <c:lblAlgn val="ctr"/>
        <c:lblOffset val="100"/>
        <c:noMultiLvlLbl val="0"/>
      </c:catAx>
      <c:valAx>
        <c:axId val="44505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5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Alertes Dépendance Numérique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839357526022821E-2"/>
          <c:y val="0.1611716208657111"/>
          <c:w val="0.8668884638795199"/>
          <c:h val="0.723337426704652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'Données de l''Enquête '!$V$1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'Données de l''Enquête '!$U$2:$U$3</c:f>
              <c:strCache>
                <c:ptCount val="2"/>
                <c:pt idx="0">
                  <c:v>OUI</c:v>
                </c:pt>
                <c:pt idx="1">
                  <c:v>NON</c:v>
                </c:pt>
              </c:strCache>
            </c:strRef>
          </c:cat>
          <c:val>
            <c:numRef>
              <c:f>'Données de l''Enquête '!$V$2:$V$3</c:f>
              <c:numCache>
                <c:formatCode>General</c:formatCode>
                <c:ptCount val="2"/>
                <c:pt idx="0">
                  <c:v>15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7-4A80-85E2-EB53A7DF9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9034271"/>
        <c:axId val="509036671"/>
      </c:barChart>
      <c:catAx>
        <c:axId val="509034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36671"/>
        <c:crosses val="autoZero"/>
        <c:auto val="1"/>
        <c:lblAlgn val="ctr"/>
        <c:lblOffset val="100"/>
        <c:noMultiLvlLbl val="0"/>
      </c:catAx>
      <c:valAx>
        <c:axId val="50903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3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Utilisation de l'IA par Filière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'Données de l''Enquête '!$Y$1</c:f>
              <c:strCache>
                <c:ptCount val="1"/>
                <c:pt idx="0">
                  <c:v>Moy_IA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'Données de l''Enquête '!$X$2:$X$4</c:f>
              <c:strCache>
                <c:ptCount val="3"/>
                <c:pt idx="0">
                  <c:v>MMSD</c:v>
                </c:pt>
                <c:pt idx="1">
                  <c:v>Informatique</c:v>
                </c:pt>
                <c:pt idx="2">
                  <c:v>Physique</c:v>
                </c:pt>
              </c:strCache>
            </c:strRef>
          </c:cat>
          <c:val>
            <c:numRef>
              <c:f>'Données de l''Enquête '!$Y$2:$Y$4</c:f>
              <c:numCache>
                <c:formatCode>General</c:formatCode>
                <c:ptCount val="3"/>
                <c:pt idx="0">
                  <c:v>8.4</c:v>
                </c:pt>
                <c:pt idx="1">
                  <c:v>7.8</c:v>
                </c:pt>
                <c:pt idx="2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F-4D1D-89EB-BE51C0214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220431"/>
        <c:axId val="995231951"/>
      </c:barChart>
      <c:catAx>
        <c:axId val="99522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31951"/>
        <c:crosses val="autoZero"/>
        <c:auto val="1"/>
        <c:lblAlgn val="ctr"/>
        <c:lblOffset val="100"/>
        <c:noMultiLvlLbl val="0"/>
      </c:catAx>
      <c:valAx>
        <c:axId val="99523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22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Heures de sommeil par relevé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'Données de l''Enquête '!$I$1</c:f>
              <c:strCache>
                <c:ptCount val="1"/>
                <c:pt idx="0">
                  <c:v>Heures_Sommeil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'Données de l''Enquête '!$I$2:$I$41</c:f>
              <c:numCache>
                <c:formatCode>General</c:formatCode>
                <c:ptCount val="40"/>
                <c:pt idx="0">
                  <c:v>7.5</c:v>
                </c:pt>
                <c:pt idx="1">
                  <c:v>5.5</c:v>
                </c:pt>
                <c:pt idx="2">
                  <c:v>8</c:v>
                </c:pt>
                <c:pt idx="3">
                  <c:v>4.5</c:v>
                </c:pt>
                <c:pt idx="4">
                  <c:v>7</c:v>
                </c:pt>
                <c:pt idx="5">
                  <c:v>6.5</c:v>
                </c:pt>
                <c:pt idx="6">
                  <c:v>8.5</c:v>
                </c:pt>
                <c:pt idx="7">
                  <c:v>4</c:v>
                </c:pt>
                <c:pt idx="8">
                  <c:v>7.8</c:v>
                </c:pt>
                <c:pt idx="9">
                  <c:v>5</c:v>
                </c:pt>
                <c:pt idx="10">
                  <c:v>8.1999999999999993</c:v>
                </c:pt>
                <c:pt idx="11">
                  <c:v>4.8</c:v>
                </c:pt>
                <c:pt idx="12">
                  <c:v>7.3</c:v>
                </c:pt>
                <c:pt idx="13">
                  <c:v>6.2</c:v>
                </c:pt>
                <c:pt idx="14">
                  <c:v>8.8000000000000007</c:v>
                </c:pt>
                <c:pt idx="15">
                  <c:v>4.2</c:v>
                </c:pt>
                <c:pt idx="16">
                  <c:v>7.6</c:v>
                </c:pt>
                <c:pt idx="17">
                  <c:v>5.3</c:v>
                </c:pt>
                <c:pt idx="18">
                  <c:v>8.1</c:v>
                </c:pt>
                <c:pt idx="19">
                  <c:v>4.5999999999999996</c:v>
                </c:pt>
                <c:pt idx="20">
                  <c:v>7.1</c:v>
                </c:pt>
                <c:pt idx="21">
                  <c:v>6</c:v>
                </c:pt>
                <c:pt idx="22">
                  <c:v>8.6</c:v>
                </c:pt>
                <c:pt idx="23">
                  <c:v>4.3</c:v>
                </c:pt>
                <c:pt idx="24">
                  <c:v>7.2</c:v>
                </c:pt>
                <c:pt idx="25">
                  <c:v>6.3</c:v>
                </c:pt>
                <c:pt idx="26">
                  <c:v>7.9</c:v>
                </c:pt>
                <c:pt idx="27">
                  <c:v>5.0999999999999996</c:v>
                </c:pt>
                <c:pt idx="28">
                  <c:v>8.4</c:v>
                </c:pt>
                <c:pt idx="29">
                  <c:v>4.9000000000000004</c:v>
                </c:pt>
                <c:pt idx="30">
                  <c:v>7.7</c:v>
                </c:pt>
                <c:pt idx="31">
                  <c:v>5.4</c:v>
                </c:pt>
                <c:pt idx="32">
                  <c:v>8</c:v>
                </c:pt>
                <c:pt idx="33">
                  <c:v>4.4000000000000004</c:v>
                </c:pt>
                <c:pt idx="34">
                  <c:v>7</c:v>
                </c:pt>
                <c:pt idx="35">
                  <c:v>6.1</c:v>
                </c:pt>
                <c:pt idx="36">
                  <c:v>8.6999999999999993</c:v>
                </c:pt>
                <c:pt idx="37">
                  <c:v>4.7</c:v>
                </c:pt>
                <c:pt idx="38">
                  <c:v>7.4</c:v>
                </c:pt>
                <c:pt idx="39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8-49C4-AB17-F3808F4926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7946943"/>
        <c:axId val="337947903"/>
      </c:barChart>
      <c:catAx>
        <c:axId val="337946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47903"/>
        <c:crosses val="autoZero"/>
        <c:auto val="1"/>
        <c:lblAlgn val="ctr"/>
        <c:lblOffset val="100"/>
        <c:noMultiLvlLbl val="0"/>
      </c:catAx>
      <c:valAx>
        <c:axId val="3379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4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d'engagement par relevé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527222222222229E-2"/>
          <c:y val="0.13596825396825396"/>
          <c:w val="0.90148770987737681"/>
          <c:h val="0.70645357202635695"/>
        </c:manualLayout>
      </c:layout>
      <c:lineChart>
        <c:grouping val="standard"/>
        <c:varyColors val="0"/>
        <c:ser>
          <c:idx val="0"/>
          <c:order val="0"/>
          <c:tx>
            <c:strRef>
              <c:f>'Données de l''Enquête '!$J$1</c:f>
              <c:strCache>
                <c:ptCount val="1"/>
                <c:pt idx="0">
                  <c:v>Score_Engagement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'Données de l''Enquête '!$J$2:$J$41</c:f>
              <c:numCache>
                <c:formatCode>General</c:formatCode>
                <c:ptCount val="40"/>
                <c:pt idx="0">
                  <c:v>8.1999999999999993</c:v>
                </c:pt>
                <c:pt idx="1">
                  <c:v>3.5</c:v>
                </c:pt>
                <c:pt idx="2">
                  <c:v>9.1999999999999993</c:v>
                </c:pt>
                <c:pt idx="3">
                  <c:v>3.3</c:v>
                </c:pt>
                <c:pt idx="4">
                  <c:v>7.4</c:v>
                </c:pt>
                <c:pt idx="5">
                  <c:v>4.4000000000000004</c:v>
                </c:pt>
                <c:pt idx="6">
                  <c:v>10</c:v>
                </c:pt>
                <c:pt idx="7">
                  <c:v>2.2000000000000002</c:v>
                </c:pt>
                <c:pt idx="8">
                  <c:v>7.8</c:v>
                </c:pt>
                <c:pt idx="9">
                  <c:v>3.6</c:v>
                </c:pt>
                <c:pt idx="10">
                  <c:v>8.6</c:v>
                </c:pt>
                <c:pt idx="11">
                  <c:v>3</c:v>
                </c:pt>
                <c:pt idx="12">
                  <c:v>6.9</c:v>
                </c:pt>
                <c:pt idx="13">
                  <c:v>4.9000000000000004</c:v>
                </c:pt>
                <c:pt idx="14">
                  <c:v>9.5</c:v>
                </c:pt>
                <c:pt idx="15">
                  <c:v>2.8</c:v>
                </c:pt>
                <c:pt idx="16">
                  <c:v>7.7</c:v>
                </c:pt>
                <c:pt idx="17">
                  <c:v>3.6</c:v>
                </c:pt>
                <c:pt idx="18">
                  <c:v>8.9</c:v>
                </c:pt>
                <c:pt idx="19">
                  <c:v>3.2</c:v>
                </c:pt>
                <c:pt idx="20">
                  <c:v>7.1</c:v>
                </c:pt>
                <c:pt idx="21">
                  <c:v>4.4000000000000004</c:v>
                </c:pt>
                <c:pt idx="22">
                  <c:v>9.5</c:v>
                </c:pt>
                <c:pt idx="23">
                  <c:v>2.6</c:v>
                </c:pt>
                <c:pt idx="24">
                  <c:v>6.7</c:v>
                </c:pt>
                <c:pt idx="25">
                  <c:v>4.9000000000000004</c:v>
                </c:pt>
                <c:pt idx="26">
                  <c:v>8.4</c:v>
                </c:pt>
                <c:pt idx="27">
                  <c:v>3.2</c:v>
                </c:pt>
                <c:pt idx="28">
                  <c:v>9.1</c:v>
                </c:pt>
                <c:pt idx="29">
                  <c:v>3.2</c:v>
                </c:pt>
                <c:pt idx="30">
                  <c:v>7.5</c:v>
                </c:pt>
                <c:pt idx="31">
                  <c:v>3.8</c:v>
                </c:pt>
                <c:pt idx="32">
                  <c:v>8.5</c:v>
                </c:pt>
                <c:pt idx="33">
                  <c:v>2.8</c:v>
                </c:pt>
                <c:pt idx="34">
                  <c:v>7.2</c:v>
                </c:pt>
                <c:pt idx="35">
                  <c:v>4.5</c:v>
                </c:pt>
                <c:pt idx="36">
                  <c:v>9.4</c:v>
                </c:pt>
                <c:pt idx="37">
                  <c:v>3.1</c:v>
                </c:pt>
                <c:pt idx="38">
                  <c:v>7</c:v>
                </c:pt>
                <c:pt idx="39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44-4CDD-941C-BD44D9920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523535"/>
        <c:axId val="820516335"/>
      </c:lineChart>
      <c:catAx>
        <c:axId val="820523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16335"/>
        <c:crosses val="autoZero"/>
        <c:auto val="1"/>
        <c:lblAlgn val="ctr"/>
        <c:lblOffset val="100"/>
        <c:noMultiLvlLbl val="0"/>
      </c:catAx>
      <c:valAx>
        <c:axId val="82051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2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Heures d'étude vs Score d'engagement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35416322277633E-2"/>
          <c:y val="0.14905236231978641"/>
          <c:w val="0.890194289057329"/>
          <c:h val="0.728794665024728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'Données de l''Enquête '!$J$1</c:f>
              <c:strCache>
                <c:ptCount val="1"/>
                <c:pt idx="0">
                  <c:v>Score_Engagement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'Données de l''Enquête '!$F$2:$F$41</c:f>
              <c:numCache>
                <c:formatCode>General</c:formatCode>
                <c:ptCount val="40"/>
                <c:pt idx="0">
                  <c:v>22.5</c:v>
                </c:pt>
                <c:pt idx="1">
                  <c:v>8.3000000000000007</c:v>
                </c:pt>
                <c:pt idx="2">
                  <c:v>25.1</c:v>
                </c:pt>
                <c:pt idx="3">
                  <c:v>6.5</c:v>
                </c:pt>
                <c:pt idx="4">
                  <c:v>19.8</c:v>
                </c:pt>
                <c:pt idx="5">
                  <c:v>11.2</c:v>
                </c:pt>
                <c:pt idx="6">
                  <c:v>27.3</c:v>
                </c:pt>
                <c:pt idx="7">
                  <c:v>5.2</c:v>
                </c:pt>
                <c:pt idx="8">
                  <c:v>21</c:v>
                </c:pt>
                <c:pt idx="9">
                  <c:v>9.6999999999999993</c:v>
                </c:pt>
                <c:pt idx="10">
                  <c:v>23.5</c:v>
                </c:pt>
                <c:pt idx="11">
                  <c:v>7.1</c:v>
                </c:pt>
                <c:pt idx="12">
                  <c:v>18.5</c:v>
                </c:pt>
                <c:pt idx="13">
                  <c:v>12.8</c:v>
                </c:pt>
                <c:pt idx="14">
                  <c:v>26</c:v>
                </c:pt>
                <c:pt idx="15">
                  <c:v>6.8</c:v>
                </c:pt>
                <c:pt idx="16">
                  <c:v>20.5</c:v>
                </c:pt>
                <c:pt idx="17">
                  <c:v>8.9</c:v>
                </c:pt>
                <c:pt idx="18">
                  <c:v>24.2</c:v>
                </c:pt>
                <c:pt idx="19">
                  <c:v>7.5</c:v>
                </c:pt>
                <c:pt idx="20">
                  <c:v>19.2</c:v>
                </c:pt>
                <c:pt idx="21">
                  <c:v>11.5</c:v>
                </c:pt>
                <c:pt idx="22">
                  <c:v>25.8</c:v>
                </c:pt>
                <c:pt idx="23">
                  <c:v>6.2</c:v>
                </c:pt>
                <c:pt idx="24">
                  <c:v>18</c:v>
                </c:pt>
                <c:pt idx="25">
                  <c:v>13.1</c:v>
                </c:pt>
                <c:pt idx="26">
                  <c:v>22.8</c:v>
                </c:pt>
                <c:pt idx="27">
                  <c:v>8</c:v>
                </c:pt>
                <c:pt idx="28">
                  <c:v>24.8</c:v>
                </c:pt>
                <c:pt idx="29">
                  <c:v>7.8</c:v>
                </c:pt>
                <c:pt idx="30">
                  <c:v>20.100000000000001</c:v>
                </c:pt>
                <c:pt idx="31">
                  <c:v>9.3000000000000007</c:v>
                </c:pt>
                <c:pt idx="32">
                  <c:v>23.1</c:v>
                </c:pt>
                <c:pt idx="33">
                  <c:v>6.9</c:v>
                </c:pt>
                <c:pt idx="34">
                  <c:v>19.5</c:v>
                </c:pt>
                <c:pt idx="35">
                  <c:v>12</c:v>
                </c:pt>
                <c:pt idx="36">
                  <c:v>25.5</c:v>
                </c:pt>
                <c:pt idx="37">
                  <c:v>7.3</c:v>
                </c:pt>
                <c:pt idx="38">
                  <c:v>18.8</c:v>
                </c:pt>
                <c:pt idx="39">
                  <c:v>10.5</c:v>
                </c:pt>
              </c:numCache>
            </c:numRef>
          </c:xVal>
          <c:yVal>
            <c:numRef>
              <c:f>'Données de l''Enquête '!$J$2:$J$41</c:f>
              <c:numCache>
                <c:formatCode>General</c:formatCode>
                <c:ptCount val="40"/>
                <c:pt idx="0">
                  <c:v>8.1999999999999993</c:v>
                </c:pt>
                <c:pt idx="1">
                  <c:v>3.5</c:v>
                </c:pt>
                <c:pt idx="2">
                  <c:v>9.1999999999999993</c:v>
                </c:pt>
                <c:pt idx="3">
                  <c:v>3.3</c:v>
                </c:pt>
                <c:pt idx="4">
                  <c:v>7.4</c:v>
                </c:pt>
                <c:pt idx="5">
                  <c:v>4.4000000000000004</c:v>
                </c:pt>
                <c:pt idx="6">
                  <c:v>10</c:v>
                </c:pt>
                <c:pt idx="7">
                  <c:v>2.2000000000000002</c:v>
                </c:pt>
                <c:pt idx="8">
                  <c:v>7.8</c:v>
                </c:pt>
                <c:pt idx="9">
                  <c:v>3.6</c:v>
                </c:pt>
                <c:pt idx="10">
                  <c:v>8.6</c:v>
                </c:pt>
                <c:pt idx="11">
                  <c:v>3</c:v>
                </c:pt>
                <c:pt idx="12">
                  <c:v>6.9</c:v>
                </c:pt>
                <c:pt idx="13">
                  <c:v>4.9000000000000004</c:v>
                </c:pt>
                <c:pt idx="14">
                  <c:v>9.5</c:v>
                </c:pt>
                <c:pt idx="15">
                  <c:v>2.8</c:v>
                </c:pt>
                <c:pt idx="16">
                  <c:v>7.7</c:v>
                </c:pt>
                <c:pt idx="17">
                  <c:v>3.6</c:v>
                </c:pt>
                <c:pt idx="18">
                  <c:v>8.9</c:v>
                </c:pt>
                <c:pt idx="19">
                  <c:v>3.2</c:v>
                </c:pt>
                <c:pt idx="20">
                  <c:v>7.1</c:v>
                </c:pt>
                <c:pt idx="21">
                  <c:v>4.4000000000000004</c:v>
                </c:pt>
                <c:pt idx="22">
                  <c:v>9.5</c:v>
                </c:pt>
                <c:pt idx="23">
                  <c:v>2.6</c:v>
                </c:pt>
                <c:pt idx="24">
                  <c:v>6.7</c:v>
                </c:pt>
                <c:pt idx="25">
                  <c:v>4.9000000000000004</c:v>
                </c:pt>
                <c:pt idx="26">
                  <c:v>8.4</c:v>
                </c:pt>
                <c:pt idx="27">
                  <c:v>3.2</c:v>
                </c:pt>
                <c:pt idx="28">
                  <c:v>9.1</c:v>
                </c:pt>
                <c:pt idx="29">
                  <c:v>3.2</c:v>
                </c:pt>
                <c:pt idx="30">
                  <c:v>7.5</c:v>
                </c:pt>
                <c:pt idx="31">
                  <c:v>3.8</c:v>
                </c:pt>
                <c:pt idx="32">
                  <c:v>8.5</c:v>
                </c:pt>
                <c:pt idx="33">
                  <c:v>2.8</c:v>
                </c:pt>
                <c:pt idx="34">
                  <c:v>7.2</c:v>
                </c:pt>
                <c:pt idx="35">
                  <c:v>4.5</c:v>
                </c:pt>
                <c:pt idx="36">
                  <c:v>9.4</c:v>
                </c:pt>
                <c:pt idx="37">
                  <c:v>3.1</c:v>
                </c:pt>
                <c:pt idx="38">
                  <c:v>7</c:v>
                </c:pt>
                <c:pt idx="39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D-4CCB-9B98-F117AEFD4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518255"/>
        <c:axId val="820511535"/>
      </c:scatterChart>
      <c:valAx>
        <c:axId val="82051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11535"/>
        <c:crosses val="autoZero"/>
        <c:crossBetween val="midCat"/>
      </c:valAx>
      <c:valAx>
        <c:axId val="82051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1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434930</xdr:colOff>
      <xdr:row>0</xdr:row>
      <xdr:rowOff>0</xdr:rowOff>
    </xdr:from>
    <xdr:to>
      <xdr:col>15</xdr:col>
      <xdr:colOff>249476</xdr:colOff>
      <xdr:row>11</xdr:row>
      <xdr:rowOff>177800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BA7D301-9504-C745-B214-68396C81D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141831</xdr:colOff>
      <xdr:row>11</xdr:row>
      <xdr:rowOff>17222</xdr:rowOff>
    </xdr:from>
    <xdr:to>
      <xdr:col>10</xdr:col>
      <xdr:colOff>391438</xdr:colOff>
      <xdr:row>23</xdr:row>
      <xdr:rowOff>17223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A89ED563-BCC6-5B7B-796D-79C63C56A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14822</xdr:colOff>
      <xdr:row>7</xdr:row>
      <xdr:rowOff>137297</xdr:rowOff>
    </xdr:from>
    <xdr:to>
      <xdr:col>18</xdr:col>
      <xdr:colOff>274594</xdr:colOff>
      <xdr:row>21</xdr:row>
      <xdr:rowOff>12372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77E8CE9-208C-1FCC-5A90-143264B20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17163</xdr:colOff>
      <xdr:row>21</xdr:row>
      <xdr:rowOff>71545</xdr:rowOff>
    </xdr:from>
    <xdr:to>
      <xdr:col>18</xdr:col>
      <xdr:colOff>510094</xdr:colOff>
      <xdr:row>36</xdr:row>
      <xdr:rowOff>2504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BAF9492-9FE5-AE1F-8B22-071B0AF22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8603</xdr:colOff>
      <xdr:row>36</xdr:row>
      <xdr:rowOff>36126</xdr:rowOff>
    </xdr:from>
    <xdr:to>
      <xdr:col>18</xdr:col>
      <xdr:colOff>479538</xdr:colOff>
      <xdr:row>50</xdr:row>
      <xdr:rowOff>140666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8BB5620-0D32-0F69-5748-26631C106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702969</xdr:colOff>
      <xdr:row>7</xdr:row>
      <xdr:rowOff>1506</xdr:rowOff>
    </xdr:from>
    <xdr:to>
      <xdr:col>24</xdr:col>
      <xdr:colOff>727839</xdr:colOff>
      <xdr:row>22</xdr:row>
      <xdr:rowOff>128310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A38C567-78AE-5CBC-484F-D11F1FA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700164</xdr:colOff>
      <xdr:row>22</xdr:row>
      <xdr:rowOff>174060</xdr:rowOff>
    </xdr:from>
    <xdr:to>
      <xdr:col>24</xdr:col>
      <xdr:colOff>730807</xdr:colOff>
      <xdr:row>38</xdr:row>
      <xdr:rowOff>2839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B448D18A-C1C3-32BF-C093-00D9D2670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631392</xdr:colOff>
      <xdr:row>38</xdr:row>
      <xdr:rowOff>32004</xdr:rowOff>
    </xdr:from>
    <xdr:to>
      <xdr:col>24</xdr:col>
      <xdr:colOff>665702</xdr:colOff>
      <xdr:row>53</xdr:row>
      <xdr:rowOff>182719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41AFD4AC-099F-B265-EDFB-478DD849A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10110</xdr:colOff>
      <xdr:row>7</xdr:row>
      <xdr:rowOff>51787</xdr:rowOff>
    </xdr:from>
    <xdr:to>
      <xdr:col>31</xdr:col>
      <xdr:colOff>8126</xdr:colOff>
      <xdr:row>21</xdr:row>
      <xdr:rowOff>145846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E104903-E207-4F6E-8F2D-228AFEB75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752373</xdr:colOff>
      <xdr:row>22</xdr:row>
      <xdr:rowOff>20948</xdr:rowOff>
    </xdr:from>
    <xdr:to>
      <xdr:col>30</xdr:col>
      <xdr:colOff>749854</xdr:colOff>
      <xdr:row>36</xdr:row>
      <xdr:rowOff>125198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B325E05B-BAB8-259F-21FB-95D2E5482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207066</xdr:colOff>
      <xdr:row>5</xdr:row>
      <xdr:rowOff>151846</xdr:rowOff>
    </xdr:from>
    <xdr:to>
      <xdr:col>5</xdr:col>
      <xdr:colOff>10870</xdr:colOff>
      <xdr:row>19</xdr:row>
      <xdr:rowOff>159455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111C4F8-916E-44C4-BC6D-E1E5ADC59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140529</xdr:colOff>
      <xdr:row>5</xdr:row>
      <xdr:rowOff>158199</xdr:rowOff>
    </xdr:from>
    <xdr:to>
      <xdr:col>9</xdr:col>
      <xdr:colOff>703573</xdr:colOff>
      <xdr:row>19</xdr:row>
      <xdr:rowOff>165808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9DAD69A-FCF2-42CF-9EBB-1B47653B3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152677</xdr:colOff>
      <xdr:row>65</xdr:row>
      <xdr:rowOff>165652</xdr:rowOff>
    </xdr:from>
    <xdr:to>
      <xdr:col>4</xdr:col>
      <xdr:colOff>715720</xdr:colOff>
      <xdr:row>79</xdr:row>
      <xdr:rowOff>173261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EA466DF-FCA4-4D7B-964F-67BDC7752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82551</xdr:colOff>
      <xdr:row>65</xdr:row>
      <xdr:rowOff>151847</xdr:rowOff>
    </xdr:from>
    <xdr:to>
      <xdr:col>9</xdr:col>
      <xdr:colOff>645595</xdr:colOff>
      <xdr:row>79</xdr:row>
      <xdr:rowOff>159456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38C7BDBD-B7FD-4EC0-BDD8-781B59F69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138044</xdr:colOff>
      <xdr:row>35</xdr:row>
      <xdr:rowOff>173268</xdr:rowOff>
    </xdr:from>
    <xdr:to>
      <xdr:col>4</xdr:col>
      <xdr:colOff>701087</xdr:colOff>
      <xdr:row>50</xdr:row>
      <xdr:rowOff>1420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247BB72-D4D0-43AD-BBA1-C135B9FBA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63308</xdr:colOff>
      <xdr:row>20</xdr:row>
      <xdr:rowOff>161843</xdr:rowOff>
    </xdr:from>
    <xdr:to>
      <xdr:col>9</xdr:col>
      <xdr:colOff>626352</xdr:colOff>
      <xdr:row>34</xdr:row>
      <xdr:rowOff>169451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BD46C00-2378-4C50-A42B-8E328B15E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63310</xdr:colOff>
      <xdr:row>50</xdr:row>
      <xdr:rowOff>176602</xdr:rowOff>
    </xdr:from>
    <xdr:to>
      <xdr:col>9</xdr:col>
      <xdr:colOff>626354</xdr:colOff>
      <xdr:row>65</xdr:row>
      <xdr:rowOff>4754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39F61149-F15C-4825-8DFA-8241B6297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168032</xdr:colOff>
      <xdr:row>20</xdr:row>
      <xdr:rowOff>165177</xdr:rowOff>
    </xdr:from>
    <xdr:to>
      <xdr:col>4</xdr:col>
      <xdr:colOff>731075</xdr:colOff>
      <xdr:row>34</xdr:row>
      <xdr:rowOff>172785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9D9F5BF2-550A-49F6-8FD2-C19325D34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79019</xdr:colOff>
      <xdr:row>35</xdr:row>
      <xdr:rowOff>159941</xdr:rowOff>
    </xdr:from>
    <xdr:to>
      <xdr:col>9</xdr:col>
      <xdr:colOff>642063</xdr:colOff>
      <xdr:row>49</xdr:row>
      <xdr:rowOff>167549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2926387E-8B15-45EC-81F5-2D39F1CF7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147563</xdr:colOff>
      <xdr:row>50</xdr:row>
      <xdr:rowOff>176125</xdr:rowOff>
    </xdr:from>
    <xdr:to>
      <xdr:col>4</xdr:col>
      <xdr:colOff>710606</xdr:colOff>
      <xdr:row>65</xdr:row>
      <xdr:rowOff>4277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8C6B9284-A2F2-4593-896F-242881B86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141A50-3A44-4CEF-B81E-B19D3A628687}" name="Tableau1" displayName="Tableau1" ref="A1:F31" totalsRowShown="0" headerRowDxfId="39" dataDxfId="37" headerRowBorderDxfId="38" tableBorderDxfId="36" totalsRowBorderDxfId="35">
  <autoFilter ref="A1:F31" xr:uid="{40141A50-3A44-4CEF-B81E-B19D3A628687}"/>
  <tableColumns count="6">
    <tableColumn id="1" xr3:uid="{22AAE058-9EC6-451A-BBBF-50B1102F4140}" name="ID_Étudiant" dataDxfId="34"/>
    <tableColumn id="2" xr3:uid="{6EC6FCF2-AA17-441F-B573-6BA1E02F044C}" name="Prénom" dataDxfId="33"/>
    <tableColumn id="3" xr3:uid="{BE79E8AC-C2FA-4A8F-A89B-5C7ED254586C}" name="Filière" dataDxfId="32"/>
    <tableColumn id="4" xr3:uid="{D1EE49AC-33FD-4FDA-9446-EEB160EA5330}" name="Niveau" dataDxfId="31"/>
    <tableColumn id="5" xr3:uid="{BC6BAFE6-E9D1-4480-84AC-6F994C5BEA67}" name="Région_Origine" dataDxfId="30"/>
    <tableColumn id="6" xr3:uid="{E50ED825-67D4-4A23-89C1-97A0449950DE}" name="Dispositif_Principal" dataDxfId="29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61297F-85E0-4F0F-B284-69164D1708BB}" name="Tableau7" displayName="Tableau7" ref="A1:M41" totalsRowShown="0" headerRowDxfId="28" dataDxfId="27" tableBorderDxfId="26">
  <autoFilter ref="A1:M41" xr:uid="{BE61297F-85E0-4F0F-B284-69164D1708BB}"/>
  <tableColumns count="13">
    <tableColumn id="1" xr3:uid="{0B16D72F-27FB-4D01-B4D8-93F351372313}" name="ID_Relevé" dataDxfId="25"/>
    <tableColumn id="2" xr3:uid="{377DC4A2-DD6C-4614-AF64-81BC26368401}" name="Date" dataDxfId="24"/>
    <tableColumn id="3" xr3:uid="{ED8A0495-C5B4-4C2C-8BB8-6892818E2DCA}" name="ID_Étudiant" dataDxfId="23"/>
    <tableColumn id="4" xr3:uid="{EF4D4CD4-2946-4D05-AF79-F0665BD0195A}" name="Prénom_Étudiant" dataDxfId="22">
      <calculatedColumnFormula>VLOOKUP(C2,Répondants!A:B,2,0)</calculatedColumnFormula>
    </tableColumn>
    <tableColumn id="5" xr3:uid="{34F2C735-9619-4A74-9187-C480701BF34F}" name="Filière" dataDxfId="21">
      <calculatedColumnFormula>VLOOKUP(C2,Répondants!A:C,3,0)</calculatedColumnFormula>
    </tableColumn>
    <tableColumn id="6" xr3:uid="{9F007498-AD1C-4260-86FF-2AFAD8FB160F}" name="Heures_Etude" dataDxfId="20"/>
    <tableColumn id="7" xr3:uid="{AE627C77-5F30-48B8-836E-11B47D142B26}" name="Utilisation_IA" dataDxfId="19"/>
    <tableColumn id="8" xr3:uid="{EBA7469F-6F1F-4A21-8A9E-87A833B600F3}" name="Temps_RS" dataDxfId="18"/>
    <tableColumn id="9" xr3:uid="{48B1F163-F583-4196-A26F-0356A9EB4683}" name="Heures_Sommeil" dataDxfId="17"/>
    <tableColumn id="10" xr3:uid="{5BDC1787-650C-49C1-AAEB-EFA0F46690E1}" name="Score_Engagement " dataDxfId="16">
      <calculatedColumnFormula>ROUND(MIN(10,MAX(1,(F2/3)+(G2/4)-(H2/2)+(I2/9))),1)</calculatedColumnFormula>
    </tableColumn>
    <tableColumn id="11" xr3:uid="{D3A49141-2A9A-440D-B616-7B325D8AB61D}" name="Profil_Numérique" dataDxfId="15">
      <calculatedColumnFormula>IF(J2&gt;7,"Intensif",IF(J2&gt;4,"Modéré","Faible"))</calculatedColumnFormula>
    </tableColumn>
    <tableColumn id="12" xr3:uid="{89360DE2-8357-4549-8094-0AE53FF91203}" name="Alerte_Dépendance" dataDxfId="14">
      <calculatedColumnFormula>IF(AND(H2&gt;4,G2&gt;10),"OUI","NON")</calculatedColumnFormula>
    </tableColumn>
    <tableColumn id="13" xr3:uid="{492DDD1C-F48A-46D9-9DFE-B15EAFE1AD77}" name="Statut" dataDxfId="13">
      <calculatedColumnFormula>IF(J2&gt;7,"Critique",IF(J2&gt;4,"Modéré","Conforme"))</calculatedColumnFormula>
    </tableColumn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909E60-66FC-4318-B9B6-45AAF8BA85AE}" name="Tableau6" displayName="Tableau6" ref="A1:H21" totalsRowShown="0" headerRowDxfId="12" dataDxfId="10" headerRowBorderDxfId="11" tableBorderDxfId="9" totalsRowBorderDxfId="8">
  <autoFilter ref="A1:H21" xr:uid="{7F909E60-66FC-4318-B9B6-45AAF8BA85AE}"/>
  <tableColumns count="8">
    <tableColumn id="1" xr3:uid="{EA3130D8-9EA4-4391-A050-9DDE4DB35D4E}" name="ID_Comportement" dataDxfId="7"/>
    <tableColumn id="2" xr3:uid="{D99C0F74-9BB1-499E-8E78-DC900751B0A9}" name="Désignation" dataDxfId="6"/>
    <tableColumn id="3" xr3:uid="{8E87B554-15F0-4B89-B4FD-8E4B2CC44465}" name="Domaine" dataDxfId="5"/>
    <tableColumn id="4" xr3:uid="{E511B600-7A52-466E-98AC-4427B2F0F673}" name="Source_Principale" dataDxfId="4"/>
    <tableColumn id="5" xr3:uid="{3C79D3B6-191E-4AEA-ABD1-4360A2B8CDDA}" name="Niveau_Impact" dataDxfId="3"/>
    <tableColumn id="6" xr3:uid="{FAE077C3-140D-4013-AC34-A72CC26965E5}" name="Fréquence_Détection" dataDxfId="2"/>
    <tableColumn id="7" xr3:uid="{E55DF551-5AB3-406A-8266-84A1232870C9}" name="Impact_Santé" dataDxfId="1"/>
    <tableColumn id="8" xr3:uid="{7BF03D89-A08B-4517-AC1F-F6065438A6DA}" name="Valeur_Impact" dataDxfId="0">
      <calculatedColumnFormula>E2*F2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3981-2B6C-4133-9345-403AFCA9B8EC}">
  <dimension ref="A1:I31"/>
  <sheetViews>
    <sheetView tabSelected="1" zoomScale="79" workbookViewId="0">
      <selection activeCell="N20" sqref="N20"/>
    </sheetView>
  </sheetViews>
  <sheetFormatPr baseColWidth="10" defaultRowHeight="14.5" x14ac:dyDescent="0.35"/>
  <cols>
    <col min="1" max="1" width="12.54296875" customWidth="1"/>
    <col min="2" max="2" width="9.26953125" customWidth="1"/>
    <col min="3" max="3" width="11.08984375" bestFit="1" customWidth="1"/>
    <col min="4" max="4" width="8.6328125" customWidth="1"/>
    <col min="5" max="5" width="15.36328125" customWidth="1"/>
    <col min="6" max="6" width="19.26953125" customWidth="1"/>
  </cols>
  <sheetData>
    <row r="1" spans="1:9" x14ac:dyDescent="0.3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H1" s="9" t="s">
        <v>2</v>
      </c>
      <c r="I1" s="9" t="s">
        <v>226</v>
      </c>
    </row>
    <row r="2" spans="1:9" x14ac:dyDescent="0.35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  <c r="H2" s="8" t="s">
        <v>8</v>
      </c>
      <c r="I2" s="8">
        <f>COUNTIF(C:C,"MMSD")</f>
        <v>10</v>
      </c>
    </row>
    <row r="3" spans="1:9" x14ac:dyDescent="0.35">
      <c r="A3" s="2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3" t="s">
        <v>16</v>
      </c>
      <c r="H3" s="8" t="s">
        <v>14</v>
      </c>
      <c r="I3" s="8">
        <f>COUNTIF(C:C,"Informatique")</f>
        <v>10</v>
      </c>
    </row>
    <row r="4" spans="1:9" x14ac:dyDescent="0.35">
      <c r="A4" s="2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3" t="s">
        <v>22</v>
      </c>
      <c r="H4" s="8" t="s">
        <v>19</v>
      </c>
      <c r="I4" s="8">
        <f>COUNTIF(C:C,"Physique")</f>
        <v>10</v>
      </c>
    </row>
    <row r="5" spans="1:9" x14ac:dyDescent="0.35">
      <c r="A5" s="2" t="s">
        <v>23</v>
      </c>
      <c r="B5" s="1" t="s">
        <v>24</v>
      </c>
      <c r="C5" s="1" t="s">
        <v>8</v>
      </c>
      <c r="D5" s="1" t="s">
        <v>9</v>
      </c>
      <c r="E5" s="1" t="s">
        <v>25</v>
      </c>
      <c r="F5" s="3" t="s">
        <v>26</v>
      </c>
    </row>
    <row r="6" spans="1:9" x14ac:dyDescent="0.35">
      <c r="A6" s="2" t="s">
        <v>27</v>
      </c>
      <c r="B6" s="1" t="s">
        <v>28</v>
      </c>
      <c r="C6" s="1" t="s">
        <v>14</v>
      </c>
      <c r="D6" s="1" t="s">
        <v>29</v>
      </c>
      <c r="E6" s="1" t="s">
        <v>10</v>
      </c>
      <c r="F6" s="3" t="s">
        <v>16</v>
      </c>
      <c r="H6" s="9" t="s">
        <v>237</v>
      </c>
      <c r="I6" s="9" t="s">
        <v>226</v>
      </c>
    </row>
    <row r="7" spans="1:9" x14ac:dyDescent="0.35">
      <c r="A7" s="2" t="s">
        <v>30</v>
      </c>
      <c r="B7" s="1" t="s">
        <v>31</v>
      </c>
      <c r="C7" s="1" t="s">
        <v>19</v>
      </c>
      <c r="D7" s="1" t="s">
        <v>9</v>
      </c>
      <c r="E7" s="1" t="s">
        <v>32</v>
      </c>
      <c r="F7" s="3" t="s">
        <v>11</v>
      </c>
      <c r="H7" s="8" t="s">
        <v>11</v>
      </c>
      <c r="I7" s="8">
        <f>COUNTIF(F:F,"Smartphone")</f>
        <v>9</v>
      </c>
    </row>
    <row r="8" spans="1:9" x14ac:dyDescent="0.35">
      <c r="A8" s="2" t="s">
        <v>33</v>
      </c>
      <c r="B8" s="1" t="s">
        <v>34</v>
      </c>
      <c r="C8" s="1" t="s">
        <v>8</v>
      </c>
      <c r="D8" s="1" t="s">
        <v>20</v>
      </c>
      <c r="E8" s="1" t="s">
        <v>15</v>
      </c>
      <c r="F8" s="3" t="s">
        <v>16</v>
      </c>
      <c r="H8" s="8" t="s">
        <v>16</v>
      </c>
      <c r="I8" s="8">
        <f>COUNTIF(F:F,"PC")</f>
        <v>10</v>
      </c>
    </row>
    <row r="9" spans="1:9" x14ac:dyDescent="0.35">
      <c r="A9" s="2" t="s">
        <v>35</v>
      </c>
      <c r="B9" s="1" t="s">
        <v>36</v>
      </c>
      <c r="C9" s="1" t="s">
        <v>14</v>
      </c>
      <c r="D9" s="1" t="s">
        <v>9</v>
      </c>
      <c r="E9" s="1" t="s">
        <v>37</v>
      </c>
      <c r="F9" s="3" t="s">
        <v>22</v>
      </c>
      <c r="H9" s="8" t="s">
        <v>26</v>
      </c>
      <c r="I9" s="8">
        <f>COUNTIF(F:F,"Tablette")</f>
        <v>5</v>
      </c>
    </row>
    <row r="10" spans="1:9" x14ac:dyDescent="0.35">
      <c r="A10" s="2" t="s">
        <v>38</v>
      </c>
      <c r="B10" s="1" t="s">
        <v>39</v>
      </c>
      <c r="C10" s="1" t="s">
        <v>19</v>
      </c>
      <c r="D10" s="1" t="s">
        <v>29</v>
      </c>
      <c r="E10" s="1" t="s">
        <v>10</v>
      </c>
      <c r="F10" s="3" t="s">
        <v>11</v>
      </c>
      <c r="H10" s="8" t="s">
        <v>22</v>
      </c>
      <c r="I10" s="8">
        <f>COUNTIF(F:F,"Mixte")</f>
        <v>6</v>
      </c>
    </row>
    <row r="11" spans="1:9" x14ac:dyDescent="0.35">
      <c r="A11" s="2" t="s">
        <v>40</v>
      </c>
      <c r="B11" s="1" t="s">
        <v>41</v>
      </c>
      <c r="C11" s="1" t="s">
        <v>8</v>
      </c>
      <c r="D11" s="1" t="s">
        <v>9</v>
      </c>
      <c r="E11" s="1" t="s">
        <v>21</v>
      </c>
      <c r="F11" s="3" t="s">
        <v>16</v>
      </c>
    </row>
    <row r="12" spans="1:9" x14ac:dyDescent="0.35">
      <c r="A12" s="2" t="s">
        <v>42</v>
      </c>
      <c r="B12" s="1" t="s">
        <v>43</v>
      </c>
      <c r="C12" s="1" t="s">
        <v>14</v>
      </c>
      <c r="D12" s="1" t="s">
        <v>20</v>
      </c>
      <c r="E12" s="1" t="s">
        <v>25</v>
      </c>
      <c r="F12" s="3" t="s">
        <v>26</v>
      </c>
    </row>
    <row r="13" spans="1:9" x14ac:dyDescent="0.35">
      <c r="A13" s="2" t="s">
        <v>44</v>
      </c>
      <c r="B13" s="1" t="s">
        <v>45</v>
      </c>
      <c r="C13" s="1" t="s">
        <v>19</v>
      </c>
      <c r="D13" s="1" t="s">
        <v>9</v>
      </c>
      <c r="E13" s="1" t="s">
        <v>10</v>
      </c>
      <c r="F13" s="3" t="s">
        <v>11</v>
      </c>
    </row>
    <row r="14" spans="1:9" x14ac:dyDescent="0.35">
      <c r="A14" s="2" t="s">
        <v>46</v>
      </c>
      <c r="B14" s="1" t="s">
        <v>47</v>
      </c>
      <c r="C14" s="1" t="s">
        <v>8</v>
      </c>
      <c r="D14" s="1" t="s">
        <v>29</v>
      </c>
      <c r="E14" s="1" t="s">
        <v>15</v>
      </c>
      <c r="F14" s="3" t="s">
        <v>16</v>
      </c>
    </row>
    <row r="15" spans="1:9" x14ac:dyDescent="0.35">
      <c r="A15" s="2" t="s">
        <v>48</v>
      </c>
      <c r="B15" s="1" t="s">
        <v>49</v>
      </c>
      <c r="C15" s="1" t="s">
        <v>14</v>
      </c>
      <c r="D15" s="1" t="s">
        <v>9</v>
      </c>
      <c r="E15" s="1" t="s">
        <v>21</v>
      </c>
      <c r="F15" s="3" t="s">
        <v>22</v>
      </c>
    </row>
    <row r="16" spans="1:9" x14ac:dyDescent="0.35">
      <c r="A16" s="2" t="s">
        <v>50</v>
      </c>
      <c r="B16" s="1" t="s">
        <v>51</v>
      </c>
      <c r="C16" s="1" t="s">
        <v>19</v>
      </c>
      <c r="D16" s="1" t="s">
        <v>20</v>
      </c>
      <c r="E16" s="1" t="s">
        <v>37</v>
      </c>
      <c r="F16" s="3" t="s">
        <v>11</v>
      </c>
    </row>
    <row r="17" spans="1:6" x14ac:dyDescent="0.35">
      <c r="A17" s="2" t="s">
        <v>52</v>
      </c>
      <c r="B17" s="1" t="s">
        <v>53</v>
      </c>
      <c r="C17" s="1" t="s">
        <v>8</v>
      </c>
      <c r="D17" s="1" t="s">
        <v>9</v>
      </c>
      <c r="E17" s="1" t="s">
        <v>32</v>
      </c>
      <c r="F17" s="3" t="s">
        <v>26</v>
      </c>
    </row>
    <row r="18" spans="1:6" x14ac:dyDescent="0.35">
      <c r="A18" s="2" t="s">
        <v>54</v>
      </c>
      <c r="B18" s="1" t="s">
        <v>55</v>
      </c>
      <c r="C18" s="1" t="s">
        <v>14</v>
      </c>
      <c r="D18" s="1" t="s">
        <v>29</v>
      </c>
      <c r="E18" s="1" t="s">
        <v>10</v>
      </c>
      <c r="F18" s="3" t="s">
        <v>16</v>
      </c>
    </row>
    <row r="19" spans="1:6" x14ac:dyDescent="0.35">
      <c r="A19" s="2" t="s">
        <v>56</v>
      </c>
      <c r="B19" s="1" t="s">
        <v>57</v>
      </c>
      <c r="C19" s="1" t="s">
        <v>19</v>
      </c>
      <c r="D19" s="1" t="s">
        <v>9</v>
      </c>
      <c r="E19" s="1" t="s">
        <v>25</v>
      </c>
      <c r="F19" s="3" t="s">
        <v>11</v>
      </c>
    </row>
    <row r="20" spans="1:6" x14ac:dyDescent="0.35">
      <c r="A20" s="2" t="s">
        <v>58</v>
      </c>
      <c r="B20" s="1" t="s">
        <v>59</v>
      </c>
      <c r="C20" s="1" t="s">
        <v>8</v>
      </c>
      <c r="D20" s="1" t="s">
        <v>20</v>
      </c>
      <c r="E20" s="1" t="s">
        <v>15</v>
      </c>
      <c r="F20" s="3" t="s">
        <v>22</v>
      </c>
    </row>
    <row r="21" spans="1:6" x14ac:dyDescent="0.35">
      <c r="A21" s="2" t="s">
        <v>60</v>
      </c>
      <c r="B21" s="1" t="s">
        <v>61</v>
      </c>
      <c r="C21" s="1" t="s">
        <v>14</v>
      </c>
      <c r="D21" s="1" t="s">
        <v>9</v>
      </c>
      <c r="E21" s="1" t="s">
        <v>21</v>
      </c>
      <c r="F21" s="3" t="s">
        <v>16</v>
      </c>
    </row>
    <row r="22" spans="1:6" x14ac:dyDescent="0.35">
      <c r="A22" s="2" t="s">
        <v>62</v>
      </c>
      <c r="B22" s="1" t="s">
        <v>63</v>
      </c>
      <c r="C22" s="1" t="s">
        <v>19</v>
      </c>
      <c r="D22" s="1" t="s">
        <v>9</v>
      </c>
      <c r="E22" s="1" t="s">
        <v>10</v>
      </c>
      <c r="F22" s="3" t="s">
        <v>11</v>
      </c>
    </row>
    <row r="23" spans="1:6" x14ac:dyDescent="0.35">
      <c r="A23" s="2" t="s">
        <v>64</v>
      </c>
      <c r="B23" s="1" t="s">
        <v>65</v>
      </c>
      <c r="C23" s="1" t="s">
        <v>8</v>
      </c>
      <c r="D23" s="1" t="s">
        <v>29</v>
      </c>
      <c r="E23" s="1" t="s">
        <v>37</v>
      </c>
      <c r="F23" s="3" t="s">
        <v>26</v>
      </c>
    </row>
    <row r="24" spans="1:6" x14ac:dyDescent="0.35">
      <c r="A24" s="2" t="s">
        <v>66</v>
      </c>
      <c r="B24" s="1" t="s">
        <v>67</v>
      </c>
      <c r="C24" s="1" t="s">
        <v>14</v>
      </c>
      <c r="D24" s="1" t="s">
        <v>9</v>
      </c>
      <c r="E24" s="1" t="s">
        <v>32</v>
      </c>
      <c r="F24" s="3" t="s">
        <v>16</v>
      </c>
    </row>
    <row r="25" spans="1:6" x14ac:dyDescent="0.35">
      <c r="A25" s="2" t="s">
        <v>68</v>
      </c>
      <c r="B25" s="1" t="s">
        <v>69</v>
      </c>
      <c r="C25" s="1" t="s">
        <v>19</v>
      </c>
      <c r="D25" s="1" t="s">
        <v>20</v>
      </c>
      <c r="E25" s="1" t="s">
        <v>15</v>
      </c>
      <c r="F25" s="3" t="s">
        <v>22</v>
      </c>
    </row>
    <row r="26" spans="1:6" x14ac:dyDescent="0.35">
      <c r="A26" s="2" t="s">
        <v>70</v>
      </c>
      <c r="B26" s="1" t="s">
        <v>71</v>
      </c>
      <c r="C26" s="1" t="s">
        <v>8</v>
      </c>
      <c r="D26" s="1" t="s">
        <v>9</v>
      </c>
      <c r="E26" s="1" t="s">
        <v>21</v>
      </c>
      <c r="F26" s="3" t="s">
        <v>11</v>
      </c>
    </row>
    <row r="27" spans="1:6" x14ac:dyDescent="0.35">
      <c r="A27" s="2" t="s">
        <v>72</v>
      </c>
      <c r="B27" s="1" t="s">
        <v>73</v>
      </c>
      <c r="C27" s="1" t="s">
        <v>14</v>
      </c>
      <c r="D27" s="1" t="s">
        <v>9</v>
      </c>
      <c r="E27" s="1" t="s">
        <v>10</v>
      </c>
      <c r="F27" s="3" t="s">
        <v>16</v>
      </c>
    </row>
    <row r="28" spans="1:6" x14ac:dyDescent="0.35">
      <c r="A28" s="2" t="s">
        <v>74</v>
      </c>
      <c r="B28" s="1" t="s">
        <v>75</v>
      </c>
      <c r="C28" s="1" t="s">
        <v>19</v>
      </c>
      <c r="D28" s="1" t="s">
        <v>29</v>
      </c>
      <c r="E28" s="1" t="s">
        <v>25</v>
      </c>
      <c r="F28" s="3" t="s">
        <v>22</v>
      </c>
    </row>
    <row r="29" spans="1:6" x14ac:dyDescent="0.35">
      <c r="A29" s="2" t="s">
        <v>76</v>
      </c>
      <c r="B29" s="1" t="s">
        <v>77</v>
      </c>
      <c r="C29" s="1" t="s">
        <v>8</v>
      </c>
      <c r="D29" s="1" t="s">
        <v>9</v>
      </c>
      <c r="E29" s="1" t="s">
        <v>15</v>
      </c>
      <c r="F29" s="3" t="s">
        <v>11</v>
      </c>
    </row>
    <row r="30" spans="1:6" x14ac:dyDescent="0.35">
      <c r="A30" s="2" t="s">
        <v>78</v>
      </c>
      <c r="B30" s="1" t="s">
        <v>79</v>
      </c>
      <c r="C30" s="1" t="s">
        <v>14</v>
      </c>
      <c r="D30" s="1" t="s">
        <v>20</v>
      </c>
      <c r="E30" s="1" t="s">
        <v>37</v>
      </c>
      <c r="F30" s="3" t="s">
        <v>16</v>
      </c>
    </row>
    <row r="31" spans="1:6" x14ac:dyDescent="0.35">
      <c r="A31" s="4" t="s">
        <v>80</v>
      </c>
      <c r="B31" s="5" t="s">
        <v>81</v>
      </c>
      <c r="C31" s="5" t="s">
        <v>19</v>
      </c>
      <c r="D31" s="5" t="s">
        <v>9</v>
      </c>
      <c r="E31" s="5" t="s">
        <v>21</v>
      </c>
      <c r="F31" s="6" t="s">
        <v>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F677-7FAC-4D46-88C4-CC757C4FACB1}">
  <dimension ref="A1:E7"/>
  <sheetViews>
    <sheetView workbookViewId="0">
      <selection activeCell="E1" sqref="E1"/>
    </sheetView>
  </sheetViews>
  <sheetFormatPr baseColWidth="10" defaultRowHeight="14.5" x14ac:dyDescent="0.35"/>
  <cols>
    <col min="1" max="1" width="6.1796875" bestFit="1" customWidth="1"/>
    <col min="2" max="2" width="21.26953125" bestFit="1" customWidth="1"/>
    <col min="3" max="3" width="5.90625" bestFit="1" customWidth="1"/>
    <col min="4" max="4" width="8.81640625" bestFit="1" customWidth="1"/>
    <col min="5" max="5" width="9.36328125" bestFit="1" customWidth="1"/>
  </cols>
  <sheetData>
    <row r="1" spans="1:5" x14ac:dyDescent="0.35">
      <c r="A1" s="25" t="s">
        <v>82</v>
      </c>
      <c r="B1" s="25" t="s">
        <v>83</v>
      </c>
      <c r="C1" s="25" t="s">
        <v>84</v>
      </c>
      <c r="D1" s="25" t="s">
        <v>85</v>
      </c>
      <c r="E1" s="25" t="s">
        <v>86</v>
      </c>
    </row>
    <row r="2" spans="1:5" x14ac:dyDescent="0.35">
      <c r="A2" s="1" t="s">
        <v>87</v>
      </c>
      <c r="B2" s="1" t="s">
        <v>88</v>
      </c>
      <c r="C2" s="1" t="s">
        <v>89</v>
      </c>
      <c r="D2" s="7" t="s">
        <v>90</v>
      </c>
      <c r="E2" s="24" t="s">
        <v>91</v>
      </c>
    </row>
    <row r="3" spans="1:5" x14ac:dyDescent="0.35">
      <c r="A3" s="1" t="s">
        <v>92</v>
      </c>
      <c r="B3" s="1" t="s">
        <v>93</v>
      </c>
      <c r="C3" s="1" t="s">
        <v>89</v>
      </c>
      <c r="D3" s="7" t="s">
        <v>94</v>
      </c>
      <c r="E3" s="24" t="s">
        <v>95</v>
      </c>
    </row>
    <row r="4" spans="1:5" x14ac:dyDescent="0.35">
      <c r="A4" s="1" t="s">
        <v>96</v>
      </c>
      <c r="B4" s="1" t="s">
        <v>97</v>
      </c>
      <c r="C4" s="1" t="s">
        <v>98</v>
      </c>
      <c r="D4" s="7" t="s">
        <v>99</v>
      </c>
      <c r="E4" s="24" t="s">
        <v>100</v>
      </c>
    </row>
    <row r="5" spans="1:5" x14ac:dyDescent="0.35">
      <c r="A5" s="1" t="s">
        <v>101</v>
      </c>
      <c r="B5" s="1" t="s">
        <v>102</v>
      </c>
      <c r="C5" s="1" t="s">
        <v>103</v>
      </c>
      <c r="D5" s="7" t="s">
        <v>104</v>
      </c>
      <c r="E5" s="24" t="s">
        <v>105</v>
      </c>
    </row>
    <row r="6" spans="1:5" x14ac:dyDescent="0.35">
      <c r="A6" s="1" t="s">
        <v>106</v>
      </c>
      <c r="B6" s="1" t="s">
        <v>107</v>
      </c>
      <c r="C6" s="1" t="s">
        <v>108</v>
      </c>
      <c r="D6" s="7">
        <f xml:space="preserve"> 3</f>
        <v>3</v>
      </c>
      <c r="E6" s="24">
        <v>0</v>
      </c>
    </row>
    <row r="7" spans="1:5" x14ac:dyDescent="0.35">
      <c r="A7" s="1" t="s">
        <v>109</v>
      </c>
      <c r="B7" s="1" t="s">
        <v>110</v>
      </c>
      <c r="C7" s="1" t="s">
        <v>111</v>
      </c>
      <c r="D7" s="7">
        <f xml:space="preserve"> 6/10</f>
        <v>0.6</v>
      </c>
      <c r="E7" s="24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A0E1-2A79-4233-861F-D33DB754FB93}">
  <dimension ref="A1:Y41"/>
  <sheetViews>
    <sheetView topLeftCell="J1" zoomScale="58" zoomScaleNormal="88" workbookViewId="0">
      <selection activeCell="N6" sqref="N6"/>
    </sheetView>
  </sheetViews>
  <sheetFormatPr baseColWidth="10" defaultRowHeight="14.5" x14ac:dyDescent="0.35"/>
  <cols>
    <col min="1" max="1" width="11.1796875" style="1" customWidth="1"/>
    <col min="2" max="2" width="10.90625" style="1"/>
    <col min="3" max="3" width="12.6328125" style="1" customWidth="1"/>
    <col min="4" max="4" width="17.36328125" style="1" customWidth="1"/>
    <col min="5" max="5" width="10.90625" style="1"/>
    <col min="6" max="6" width="14.81640625" style="1" customWidth="1"/>
    <col min="7" max="7" width="14.1796875" style="1" customWidth="1"/>
    <col min="8" max="8" width="11.54296875" style="1" customWidth="1"/>
    <col min="9" max="9" width="17.1796875" style="1" customWidth="1"/>
    <col min="10" max="10" width="21.453125" style="1" customWidth="1"/>
    <col min="11" max="11" width="17.6328125" style="12" customWidth="1"/>
    <col min="12" max="12" width="19.36328125" style="12" customWidth="1"/>
    <col min="13" max="17" width="10.90625" style="12"/>
    <col min="18" max="18" width="15.08984375" style="12" bestFit="1" customWidth="1"/>
    <col min="19" max="16384" width="10.90625" style="12"/>
  </cols>
  <sheetData>
    <row r="1" spans="1:25" s="11" customFormat="1" ht="15.5" x14ac:dyDescent="0.35">
      <c r="A1" s="16" t="s">
        <v>153</v>
      </c>
      <c r="B1" s="10" t="s">
        <v>154</v>
      </c>
      <c r="C1" s="10" t="s">
        <v>0</v>
      </c>
      <c r="D1" s="10" t="s">
        <v>155</v>
      </c>
      <c r="E1" s="10" t="s">
        <v>2</v>
      </c>
      <c r="F1" s="10" t="s">
        <v>156</v>
      </c>
      <c r="G1" s="10" t="s">
        <v>157</v>
      </c>
      <c r="H1" s="10" t="s">
        <v>158</v>
      </c>
      <c r="I1" s="10" t="s">
        <v>159</v>
      </c>
      <c r="J1" s="14" t="s">
        <v>160</v>
      </c>
      <c r="K1" s="15" t="s">
        <v>161</v>
      </c>
      <c r="L1" s="15" t="s">
        <v>162</v>
      </c>
      <c r="M1" s="15" t="s">
        <v>163</v>
      </c>
      <c r="N1" s="20"/>
      <c r="O1" s="11" t="s">
        <v>227</v>
      </c>
      <c r="P1" s="11" t="s">
        <v>228</v>
      </c>
      <c r="R1" s="11" t="s">
        <v>83</v>
      </c>
      <c r="S1" s="11" t="s">
        <v>231</v>
      </c>
      <c r="U1" s="11" t="s">
        <v>232</v>
      </c>
      <c r="V1" s="11" t="s">
        <v>226</v>
      </c>
      <c r="X1" s="11" t="s">
        <v>236</v>
      </c>
      <c r="Y1" s="11" t="s">
        <v>235</v>
      </c>
    </row>
    <row r="2" spans="1:25" x14ac:dyDescent="0.35">
      <c r="A2" s="2" t="s">
        <v>113</v>
      </c>
      <c r="B2" s="13">
        <v>45672</v>
      </c>
      <c r="C2" s="1" t="s">
        <v>44</v>
      </c>
      <c r="D2" s="1" t="str">
        <f>VLOOKUP(C2,Répondants!A:B,2,0)</f>
        <v>Zineb</v>
      </c>
      <c r="E2" s="1" t="str">
        <f>VLOOKUP(C2,Répondants!A:C,3,0)</f>
        <v>Physique</v>
      </c>
      <c r="F2" s="1">
        <v>22.5</v>
      </c>
      <c r="G2" s="1">
        <v>3.2</v>
      </c>
      <c r="H2" s="1">
        <v>1.8</v>
      </c>
      <c r="I2" s="1">
        <v>7.5</v>
      </c>
      <c r="J2" s="1">
        <f>ROUND(MIN(10,MAX(1,(F2/3)+(G2/4)-(H2/2)+(I2/9))),1)</f>
        <v>8.1999999999999993</v>
      </c>
      <c r="K2" s="12" t="str">
        <f>IF(J2&gt;7,"Intensif",IF(J2&gt;4,"Modéré","Faible"))</f>
        <v>Intensif</v>
      </c>
      <c r="L2" s="12" t="str">
        <f>IF(AND(H2&gt;4,G2&gt;10),"OUI","NON")</f>
        <v>NON</v>
      </c>
      <c r="M2" s="12" t="str">
        <f>IF(J2&gt;7,"Critique",IF(J2&gt;4,"Modéré","Conforme"))</f>
        <v>Critique</v>
      </c>
      <c r="N2" s="21"/>
      <c r="O2" s="8" t="s">
        <v>229</v>
      </c>
      <c r="P2" s="12">
        <f>COUNTIF(K:K,"Intensif")</f>
        <v>17</v>
      </c>
      <c r="R2" s="8" t="s">
        <v>156</v>
      </c>
      <c r="S2" s="12">
        <f>ROUND(AVERAGE(F2:F41),1)</f>
        <v>15.6</v>
      </c>
      <c r="U2" s="12" t="s">
        <v>233</v>
      </c>
      <c r="V2" s="12">
        <f>COUNTIF(L:L,"OUI")</f>
        <v>15</v>
      </c>
      <c r="X2" s="12" t="s">
        <v>8</v>
      </c>
      <c r="Y2" s="12">
        <f>ROUND(AVERAGEIF(E:E,"MMSD",G:G),1)</f>
        <v>8.4</v>
      </c>
    </row>
    <row r="3" spans="1:25" x14ac:dyDescent="0.35">
      <c r="A3" s="2" t="s">
        <v>114</v>
      </c>
      <c r="B3" s="13">
        <v>45675</v>
      </c>
      <c r="C3" s="1" t="s">
        <v>27</v>
      </c>
      <c r="D3" s="1" t="str">
        <f>VLOOKUP(C3,Répondants!A:B,2,0)</f>
        <v>Omar</v>
      </c>
      <c r="E3" s="1" t="str">
        <f>VLOOKUP(C3,Répondants!A:C,3,0)</f>
        <v>Informatique</v>
      </c>
      <c r="F3" s="1">
        <v>8.3000000000000007</v>
      </c>
      <c r="G3" s="1">
        <v>12.7</v>
      </c>
      <c r="H3" s="1">
        <v>6.2</v>
      </c>
      <c r="I3" s="1">
        <v>5.5</v>
      </c>
      <c r="J3" s="1">
        <f t="shared" ref="J3:J36" si="0">ROUND(MIN(10,MAX(1,(F3/3)+(G3/4)-(H3/2)+(I3/9))),1)</f>
        <v>3.5</v>
      </c>
      <c r="K3" s="12" t="str">
        <f t="shared" ref="K3:K41" si="1">IF(J3&gt;7,"Intensif",IF(J3&gt;4,"Modéré","Faible"))</f>
        <v>Faible</v>
      </c>
      <c r="L3" s="12" t="str">
        <f t="shared" ref="L3:L41" si="2">IF(AND(H3&gt;4,G3&gt;10),"OUI","NON")</f>
        <v>OUI</v>
      </c>
      <c r="M3" s="12" t="str">
        <f t="shared" ref="M3:M41" si="3">IF(J3&gt;7,"Critique",IF(J3&gt;4,"Modéré","Conforme"))</f>
        <v>Conforme</v>
      </c>
      <c r="N3" s="21"/>
      <c r="O3" s="8" t="s">
        <v>189</v>
      </c>
      <c r="P3" s="12">
        <f>COUNTIF(K:K,"Modéré")</f>
        <v>9</v>
      </c>
      <c r="R3" s="8" t="s">
        <v>157</v>
      </c>
      <c r="S3" s="12">
        <f>ROUND(AVERAGE(G2:G41),1)</f>
        <v>8.3000000000000007</v>
      </c>
      <c r="U3" s="12" t="s">
        <v>234</v>
      </c>
      <c r="V3" s="12">
        <f>COUNTIF(L:L,"NON")</f>
        <v>25</v>
      </c>
      <c r="X3" s="12" t="s">
        <v>14</v>
      </c>
      <c r="Y3" s="12">
        <f>ROUND(AVERAGEIF(E:E,"Informatique",G:G),1)</f>
        <v>7.8</v>
      </c>
    </row>
    <row r="4" spans="1:25" x14ac:dyDescent="0.35">
      <c r="A4" s="2" t="s">
        <v>115</v>
      </c>
      <c r="B4" s="13">
        <v>45679</v>
      </c>
      <c r="C4" s="1" t="s">
        <v>58</v>
      </c>
      <c r="D4" s="1" t="str">
        <f>VLOOKUP(C4,Répondants!A:B,2,0)</f>
        <v>Saad</v>
      </c>
      <c r="E4" s="1" t="str">
        <f>VLOOKUP(C4,Répondants!A:C,3,0)</f>
        <v>MMSD</v>
      </c>
      <c r="F4" s="1">
        <v>25.1</v>
      </c>
      <c r="G4" s="1">
        <v>2.1</v>
      </c>
      <c r="H4" s="1">
        <v>1.2</v>
      </c>
      <c r="I4" s="1">
        <v>8</v>
      </c>
      <c r="J4" s="1">
        <f t="shared" si="0"/>
        <v>9.1999999999999993</v>
      </c>
      <c r="K4" s="12" t="str">
        <f t="shared" si="1"/>
        <v>Intensif</v>
      </c>
      <c r="L4" s="12" t="str">
        <f t="shared" si="2"/>
        <v>NON</v>
      </c>
      <c r="M4" s="12" t="str">
        <f t="shared" si="3"/>
        <v>Critique</v>
      </c>
      <c r="N4" s="21"/>
      <c r="O4" s="8" t="s">
        <v>230</v>
      </c>
      <c r="P4" s="12">
        <f>COUNTIF(K:K,"Faible")</f>
        <v>14</v>
      </c>
      <c r="R4" s="8" t="s">
        <v>158</v>
      </c>
      <c r="S4" s="12">
        <f>ROUND(AVERAGE(H2:H41),1)</f>
        <v>4.2</v>
      </c>
      <c r="X4" s="12" t="s">
        <v>19</v>
      </c>
      <c r="Y4" s="12">
        <f>ROUND(AVERAGEIF(E:E,"Physique",G:G),1)</f>
        <v>8.5</v>
      </c>
    </row>
    <row r="5" spans="1:25" x14ac:dyDescent="0.35">
      <c r="A5" s="2" t="s">
        <v>116</v>
      </c>
      <c r="B5" s="13">
        <v>45682</v>
      </c>
      <c r="C5" s="1" t="s">
        <v>17</v>
      </c>
      <c r="D5" s="1" t="str">
        <f>VLOOKUP(C5,Répondants!A:B,2,0)</f>
        <v>Amine</v>
      </c>
      <c r="E5" s="1" t="str">
        <f>VLOOKUP(C5,Répondants!A:C,3,0)</f>
        <v>Physique</v>
      </c>
      <c r="F5" s="1">
        <v>6.5</v>
      </c>
      <c r="G5" s="1">
        <v>18.3</v>
      </c>
      <c r="H5" s="1">
        <v>7.8</v>
      </c>
      <c r="I5" s="1">
        <v>4.5</v>
      </c>
      <c r="J5" s="1">
        <f t="shared" si="0"/>
        <v>3.3</v>
      </c>
      <c r="K5" s="12" t="str">
        <f t="shared" si="1"/>
        <v>Faible</v>
      </c>
      <c r="L5" s="12" t="str">
        <f t="shared" si="2"/>
        <v>OUI</v>
      </c>
      <c r="M5" s="12" t="str">
        <f t="shared" si="3"/>
        <v>Conforme</v>
      </c>
      <c r="N5" s="21"/>
      <c r="R5" s="8" t="s">
        <v>159</v>
      </c>
      <c r="S5" s="12">
        <f>ROUND(AVERAGE(I2:I41),1)</f>
        <v>6.5</v>
      </c>
    </row>
    <row r="6" spans="1:25" x14ac:dyDescent="0.35">
      <c r="A6" s="2" t="s">
        <v>117</v>
      </c>
      <c r="B6" s="13">
        <v>45685</v>
      </c>
      <c r="C6" s="1" t="s">
        <v>74</v>
      </c>
      <c r="D6" s="1" t="str">
        <f>VLOOKUP(C6,Répondants!A:B,2,0)</f>
        <v>Ayoub</v>
      </c>
      <c r="E6" s="1" t="str">
        <f>VLOOKUP(C6,Répondants!A:C,3,0)</f>
        <v>Physique</v>
      </c>
      <c r="F6" s="1">
        <v>19.8</v>
      </c>
      <c r="G6" s="1">
        <v>4.5</v>
      </c>
      <c r="H6" s="1">
        <v>2.2999999999999998</v>
      </c>
      <c r="I6" s="1">
        <v>7</v>
      </c>
      <c r="J6" s="1">
        <f t="shared" si="0"/>
        <v>7.4</v>
      </c>
      <c r="K6" s="12" t="str">
        <f t="shared" si="1"/>
        <v>Intensif</v>
      </c>
      <c r="L6" s="12" t="str">
        <f t="shared" si="2"/>
        <v>NON</v>
      </c>
      <c r="M6" s="12" t="str">
        <f t="shared" si="3"/>
        <v>Critique</v>
      </c>
      <c r="N6" s="21"/>
    </row>
    <row r="7" spans="1:25" x14ac:dyDescent="0.35">
      <c r="A7" s="2" t="s">
        <v>118</v>
      </c>
      <c r="B7" s="13">
        <v>45690</v>
      </c>
      <c r="C7" s="1" t="s">
        <v>35</v>
      </c>
      <c r="D7" s="1" t="str">
        <f>VLOOKUP(C7,Répondants!A:B,2,0)</f>
        <v>Houda</v>
      </c>
      <c r="E7" s="1" t="str">
        <f>VLOOKUP(C7,Répondants!A:C,3,0)</f>
        <v>Informatique</v>
      </c>
      <c r="F7" s="1">
        <v>11.2</v>
      </c>
      <c r="G7" s="1">
        <v>8.9</v>
      </c>
      <c r="H7" s="1">
        <v>4.5</v>
      </c>
      <c r="I7" s="1">
        <v>6.5</v>
      </c>
      <c r="J7" s="1">
        <f t="shared" si="0"/>
        <v>4.4000000000000004</v>
      </c>
      <c r="K7" s="12" t="str">
        <f t="shared" si="1"/>
        <v>Modéré</v>
      </c>
      <c r="L7" s="12" t="str">
        <f t="shared" si="2"/>
        <v>NON</v>
      </c>
      <c r="M7" s="12" t="str">
        <f t="shared" si="3"/>
        <v>Modéré</v>
      </c>
      <c r="N7" s="21"/>
    </row>
    <row r="8" spans="1:25" x14ac:dyDescent="0.35">
      <c r="A8" s="2" t="s">
        <v>119</v>
      </c>
      <c r="B8" s="13">
        <v>45693</v>
      </c>
      <c r="C8" s="1" t="s">
        <v>50</v>
      </c>
      <c r="D8" s="1" t="str">
        <f>VLOOKUP(C8,Répondants!A:B,2,0)</f>
        <v>Hamza</v>
      </c>
      <c r="E8" s="1" t="str">
        <f>VLOOKUP(C8,Répondants!A:C,3,0)</f>
        <v>Physique</v>
      </c>
      <c r="F8" s="1">
        <v>27.3</v>
      </c>
      <c r="G8" s="1">
        <v>1.8</v>
      </c>
      <c r="H8" s="1">
        <v>1</v>
      </c>
      <c r="I8" s="1">
        <v>8.5</v>
      </c>
      <c r="J8" s="1">
        <f t="shared" si="0"/>
        <v>10</v>
      </c>
      <c r="K8" s="12" t="str">
        <f t="shared" si="1"/>
        <v>Intensif</v>
      </c>
      <c r="L8" s="12" t="str">
        <f t="shared" si="2"/>
        <v>NON</v>
      </c>
      <c r="M8" s="12" t="str">
        <f t="shared" si="3"/>
        <v>Critique</v>
      </c>
      <c r="N8" s="21"/>
    </row>
    <row r="9" spans="1:25" x14ac:dyDescent="0.35">
      <c r="A9" s="2" t="s">
        <v>120</v>
      </c>
      <c r="B9" s="13">
        <v>45696</v>
      </c>
      <c r="C9" s="1" t="s">
        <v>64</v>
      </c>
      <c r="D9" s="1" t="str">
        <f>VLOOKUP(C9,Répondants!A:B,2,0)</f>
        <v>Chaimae</v>
      </c>
      <c r="E9" s="1" t="str">
        <f>VLOOKUP(C9,Répondants!A:C,3,0)</f>
        <v>MMSD</v>
      </c>
      <c r="F9" s="1">
        <v>5.2</v>
      </c>
      <c r="G9" s="1">
        <v>16.399999999999999</v>
      </c>
      <c r="H9" s="1">
        <v>8.1</v>
      </c>
      <c r="I9" s="1">
        <v>4</v>
      </c>
      <c r="J9" s="1">
        <f t="shared" si="0"/>
        <v>2.2000000000000002</v>
      </c>
      <c r="K9" s="12" t="str">
        <f t="shared" si="1"/>
        <v>Faible</v>
      </c>
      <c r="L9" s="12" t="str">
        <f t="shared" si="2"/>
        <v>OUI</v>
      </c>
      <c r="M9" s="12" t="str">
        <f t="shared" si="3"/>
        <v>Conforme</v>
      </c>
      <c r="N9" s="21"/>
    </row>
    <row r="10" spans="1:25" x14ac:dyDescent="0.35">
      <c r="A10" s="2" t="s">
        <v>121</v>
      </c>
      <c r="B10" s="13">
        <v>45700</v>
      </c>
      <c r="C10" s="1" t="s">
        <v>6</v>
      </c>
      <c r="D10" s="1" t="str">
        <f>VLOOKUP(C10,Répondants!A:B,2,0)</f>
        <v>Youssef</v>
      </c>
      <c r="E10" s="1" t="str">
        <f>VLOOKUP(C10,Répondants!A:C,3,0)</f>
        <v>MMSD</v>
      </c>
      <c r="F10" s="1">
        <v>21</v>
      </c>
      <c r="G10" s="1">
        <v>3.8</v>
      </c>
      <c r="H10" s="1">
        <v>2</v>
      </c>
      <c r="I10" s="1">
        <v>7.8</v>
      </c>
      <c r="J10" s="1">
        <f t="shared" si="0"/>
        <v>7.8</v>
      </c>
      <c r="K10" s="12" t="str">
        <f t="shared" si="1"/>
        <v>Intensif</v>
      </c>
      <c r="L10" s="12" t="str">
        <f t="shared" si="2"/>
        <v>NON</v>
      </c>
      <c r="M10" s="12" t="str">
        <f t="shared" si="3"/>
        <v>Critique</v>
      </c>
      <c r="N10" s="21"/>
    </row>
    <row r="11" spans="1:25" x14ac:dyDescent="0.35">
      <c r="A11" s="2" t="s">
        <v>122</v>
      </c>
      <c r="B11" s="13">
        <v>45703</v>
      </c>
      <c r="C11" s="1" t="s">
        <v>80</v>
      </c>
      <c r="D11" s="1" t="str">
        <f>VLOOKUP(C11,Répondants!A:B,2,0)</f>
        <v>Safae</v>
      </c>
      <c r="E11" s="1" t="str">
        <f>VLOOKUP(C11,Répondants!A:C,3,0)</f>
        <v>Physique</v>
      </c>
      <c r="F11" s="1">
        <v>9.6999999999999993</v>
      </c>
      <c r="G11" s="1">
        <v>11.2</v>
      </c>
      <c r="H11" s="1">
        <v>5.9</v>
      </c>
      <c r="I11" s="1">
        <v>5</v>
      </c>
      <c r="J11" s="1">
        <f t="shared" si="0"/>
        <v>3.6</v>
      </c>
      <c r="K11" s="12" t="str">
        <f t="shared" si="1"/>
        <v>Faible</v>
      </c>
      <c r="L11" s="12" t="str">
        <f t="shared" si="2"/>
        <v>OUI</v>
      </c>
      <c r="M11" s="12" t="str">
        <f t="shared" si="3"/>
        <v>Conforme</v>
      </c>
      <c r="N11" s="21"/>
    </row>
    <row r="12" spans="1:25" x14ac:dyDescent="0.35">
      <c r="A12" s="2" t="s">
        <v>123</v>
      </c>
      <c r="B12" s="13">
        <v>45706</v>
      </c>
      <c r="C12" s="1" t="s">
        <v>54</v>
      </c>
      <c r="D12" s="1" t="str">
        <f>VLOOKUP(C12,Répondants!A:B,2,0)</f>
        <v>Rachid</v>
      </c>
      <c r="E12" s="1" t="str">
        <f>VLOOKUP(C12,Répondants!A:C,3,0)</f>
        <v>Informatique</v>
      </c>
      <c r="F12" s="1">
        <v>23.5</v>
      </c>
      <c r="G12" s="1">
        <v>2.5</v>
      </c>
      <c r="H12" s="1">
        <v>1.5</v>
      </c>
      <c r="I12" s="1">
        <v>8.1999999999999993</v>
      </c>
      <c r="J12" s="1">
        <f t="shared" si="0"/>
        <v>8.6</v>
      </c>
      <c r="K12" s="12" t="str">
        <f t="shared" si="1"/>
        <v>Intensif</v>
      </c>
      <c r="L12" s="12" t="str">
        <f t="shared" si="2"/>
        <v>NON</v>
      </c>
      <c r="M12" s="12" t="str">
        <f t="shared" si="3"/>
        <v>Critique</v>
      </c>
      <c r="N12" s="21"/>
    </row>
    <row r="13" spans="1:25" x14ac:dyDescent="0.35">
      <c r="A13" s="2" t="s">
        <v>124</v>
      </c>
      <c r="B13" s="13">
        <v>45710</v>
      </c>
      <c r="C13" s="1" t="s">
        <v>38</v>
      </c>
      <c r="D13" s="1" t="str">
        <f>VLOOKUP(C13,Répondants!A:B,2,0)</f>
        <v>Bilal</v>
      </c>
      <c r="E13" s="1" t="str">
        <f>VLOOKUP(C13,Répondants!A:C,3,0)</f>
        <v>Physique</v>
      </c>
      <c r="F13" s="1">
        <v>7.1</v>
      </c>
      <c r="G13" s="1">
        <v>14.8</v>
      </c>
      <c r="H13" s="1">
        <v>7.2</v>
      </c>
      <c r="I13" s="1">
        <v>4.8</v>
      </c>
      <c r="J13" s="1">
        <f t="shared" si="0"/>
        <v>3</v>
      </c>
      <c r="K13" s="12" t="str">
        <f t="shared" si="1"/>
        <v>Faible</v>
      </c>
      <c r="L13" s="12" t="str">
        <f t="shared" si="2"/>
        <v>OUI</v>
      </c>
      <c r="M13" s="12" t="str">
        <f t="shared" si="3"/>
        <v>Conforme</v>
      </c>
      <c r="N13" s="21"/>
    </row>
    <row r="14" spans="1:25" x14ac:dyDescent="0.35">
      <c r="A14" s="2" t="s">
        <v>125</v>
      </c>
      <c r="B14" s="13">
        <v>45713</v>
      </c>
      <c r="C14" s="1" t="s">
        <v>68</v>
      </c>
      <c r="D14" s="1" t="str">
        <f>VLOOKUP(C14,Répondants!A:B,2,0)</f>
        <v>Hajar</v>
      </c>
      <c r="E14" s="1" t="str">
        <f>VLOOKUP(C14,Répondants!A:C,3,0)</f>
        <v>Physique</v>
      </c>
      <c r="F14" s="1">
        <v>18.5</v>
      </c>
      <c r="G14" s="1">
        <v>5.2</v>
      </c>
      <c r="H14" s="1">
        <v>2.8</v>
      </c>
      <c r="I14" s="1">
        <v>7.3</v>
      </c>
      <c r="J14" s="1">
        <f t="shared" si="0"/>
        <v>6.9</v>
      </c>
      <c r="K14" s="12" t="str">
        <f t="shared" si="1"/>
        <v>Modéré</v>
      </c>
      <c r="L14" s="12" t="str">
        <f t="shared" si="2"/>
        <v>NON</v>
      </c>
      <c r="M14" s="12" t="str">
        <f t="shared" si="3"/>
        <v>Modéré</v>
      </c>
      <c r="N14" s="21"/>
    </row>
    <row r="15" spans="1:25" x14ac:dyDescent="0.35">
      <c r="A15" s="2" t="s">
        <v>126</v>
      </c>
      <c r="B15" s="13">
        <v>45716</v>
      </c>
      <c r="C15" s="1" t="s">
        <v>30</v>
      </c>
      <c r="D15" s="1" t="str">
        <f>VLOOKUP(C15,Répondants!A:B,2,0)</f>
        <v>Nadia</v>
      </c>
      <c r="E15" s="1" t="str">
        <f>VLOOKUP(C15,Répondants!A:C,3,0)</f>
        <v>Physique</v>
      </c>
      <c r="F15" s="1">
        <v>12.8</v>
      </c>
      <c r="G15" s="1">
        <v>9.3000000000000007</v>
      </c>
      <c r="H15" s="1">
        <v>4.8</v>
      </c>
      <c r="I15" s="1">
        <v>6.2</v>
      </c>
      <c r="J15" s="1">
        <f>ROUND(MIN(10,MAX(1,(F15/3)+(G15/4)-(H15/2)+(I15/9))),1)</f>
        <v>4.9000000000000004</v>
      </c>
      <c r="K15" s="12" t="str">
        <f t="shared" si="1"/>
        <v>Modéré</v>
      </c>
      <c r="L15" s="12" t="str">
        <f t="shared" si="2"/>
        <v>NON</v>
      </c>
      <c r="M15" s="12" t="str">
        <f t="shared" si="3"/>
        <v>Modéré</v>
      </c>
      <c r="N15" s="21"/>
    </row>
    <row r="16" spans="1:25" x14ac:dyDescent="0.35">
      <c r="A16" s="2" t="s">
        <v>127</v>
      </c>
      <c r="B16" s="13">
        <v>45719</v>
      </c>
      <c r="C16" s="1" t="s">
        <v>46</v>
      </c>
      <c r="D16" s="1" t="str">
        <f>VLOOKUP(C16,Répondants!A:B,2,0)</f>
        <v>Mehdi</v>
      </c>
      <c r="E16" s="1" t="str">
        <f>VLOOKUP(C16,Répondants!A:C,3,0)</f>
        <v>MMSD</v>
      </c>
      <c r="F16" s="1">
        <v>26</v>
      </c>
      <c r="G16" s="1">
        <v>2</v>
      </c>
      <c r="H16" s="1">
        <v>1.3</v>
      </c>
      <c r="I16" s="1">
        <v>8.8000000000000007</v>
      </c>
      <c r="J16" s="1">
        <f t="shared" si="0"/>
        <v>9.5</v>
      </c>
      <c r="K16" s="12" t="str">
        <f t="shared" si="1"/>
        <v>Intensif</v>
      </c>
      <c r="L16" s="12" t="str">
        <f t="shared" si="2"/>
        <v>NON</v>
      </c>
      <c r="M16" s="12" t="str">
        <f t="shared" si="3"/>
        <v>Critique</v>
      </c>
      <c r="N16" s="21"/>
    </row>
    <row r="17" spans="1:18" x14ac:dyDescent="0.35">
      <c r="A17" s="2" t="s">
        <v>128</v>
      </c>
      <c r="B17" s="13">
        <v>45722</v>
      </c>
      <c r="C17" s="1" t="s">
        <v>60</v>
      </c>
      <c r="D17" s="1" t="str">
        <f>VLOOKUP(C17,Répondants!A:B,2,0)</f>
        <v>Imane</v>
      </c>
      <c r="E17" s="1" t="str">
        <f>VLOOKUP(C17,Répondants!A:C,3,0)</f>
        <v>Informatique</v>
      </c>
      <c r="F17" s="1">
        <v>6.8</v>
      </c>
      <c r="G17" s="1">
        <v>17.100000000000001</v>
      </c>
      <c r="H17" s="1">
        <v>8.5</v>
      </c>
      <c r="I17" s="1">
        <v>4.2</v>
      </c>
      <c r="J17" s="1">
        <f t="shared" si="0"/>
        <v>2.8</v>
      </c>
      <c r="K17" s="12" t="str">
        <f t="shared" si="1"/>
        <v>Faible</v>
      </c>
      <c r="L17" s="12" t="str">
        <f t="shared" si="2"/>
        <v>OUI</v>
      </c>
      <c r="M17" s="12" t="str">
        <f t="shared" si="3"/>
        <v>Conforme</v>
      </c>
      <c r="N17" s="21"/>
    </row>
    <row r="18" spans="1:18" x14ac:dyDescent="0.35">
      <c r="A18" s="2" t="s">
        <v>129</v>
      </c>
      <c r="B18" s="13">
        <v>45725</v>
      </c>
      <c r="C18" s="1" t="s">
        <v>12</v>
      </c>
      <c r="D18" s="1" t="str">
        <f>VLOOKUP(C18,Répondants!A:B,2,0)</f>
        <v>Fatima</v>
      </c>
      <c r="E18" s="1" t="str">
        <f>VLOOKUP(C18,Répondants!A:C,3,0)</f>
        <v>Informatique</v>
      </c>
      <c r="F18" s="1">
        <v>20.5</v>
      </c>
      <c r="G18" s="1">
        <v>4.0999999999999996</v>
      </c>
      <c r="H18" s="1">
        <v>2.1</v>
      </c>
      <c r="I18" s="1">
        <v>7.6</v>
      </c>
      <c r="J18" s="1">
        <f t="shared" si="0"/>
        <v>7.7</v>
      </c>
      <c r="K18" s="12" t="str">
        <f t="shared" si="1"/>
        <v>Intensif</v>
      </c>
      <c r="L18" s="12" t="str">
        <f t="shared" si="2"/>
        <v>NON</v>
      </c>
      <c r="M18" s="12" t="str">
        <f t="shared" si="3"/>
        <v>Critique</v>
      </c>
      <c r="N18" s="21"/>
    </row>
    <row r="19" spans="1:18" x14ac:dyDescent="0.35">
      <c r="A19" s="2" t="s">
        <v>130</v>
      </c>
      <c r="B19" s="13">
        <v>45728</v>
      </c>
      <c r="C19" s="1" t="s">
        <v>76</v>
      </c>
      <c r="D19" s="1" t="str">
        <f>VLOOKUP(C19,Répondants!A:B,2,0)</f>
        <v>Meriem</v>
      </c>
      <c r="E19" s="1" t="str">
        <f>VLOOKUP(C19,Répondants!A:C,3,0)</f>
        <v>MMSD</v>
      </c>
      <c r="F19" s="1">
        <v>8.9</v>
      </c>
      <c r="G19" s="1">
        <v>12</v>
      </c>
      <c r="H19" s="1">
        <v>6</v>
      </c>
      <c r="I19" s="1">
        <v>5.3</v>
      </c>
      <c r="J19" s="1">
        <f t="shared" si="0"/>
        <v>3.6</v>
      </c>
      <c r="K19" s="12" t="str">
        <f t="shared" si="1"/>
        <v>Faible</v>
      </c>
      <c r="L19" s="12" t="str">
        <f t="shared" si="2"/>
        <v>OUI</v>
      </c>
      <c r="M19" s="12" t="str">
        <f t="shared" si="3"/>
        <v>Conforme</v>
      </c>
      <c r="N19" s="21"/>
      <c r="R19"/>
    </row>
    <row r="20" spans="1:18" x14ac:dyDescent="0.35">
      <c r="A20" s="2" t="s">
        <v>131</v>
      </c>
      <c r="B20" s="13">
        <v>45731</v>
      </c>
      <c r="C20" s="1" t="s">
        <v>42</v>
      </c>
      <c r="D20" s="1" t="str">
        <f>VLOOKUP(C20,Répondants!A:B,2,0)</f>
        <v>Tariq</v>
      </c>
      <c r="E20" s="1" t="str">
        <f>VLOOKUP(C20,Répondants!A:C,3,0)</f>
        <v>Informatique</v>
      </c>
      <c r="F20" s="1">
        <v>24.2</v>
      </c>
      <c r="G20" s="1">
        <v>2.8</v>
      </c>
      <c r="H20" s="1">
        <v>1.6</v>
      </c>
      <c r="I20" s="1">
        <v>8.1</v>
      </c>
      <c r="J20" s="1">
        <f t="shared" si="0"/>
        <v>8.9</v>
      </c>
      <c r="K20" s="12" t="str">
        <f t="shared" si="1"/>
        <v>Intensif</v>
      </c>
      <c r="L20" s="12" t="str">
        <f t="shared" si="2"/>
        <v>NON</v>
      </c>
      <c r="M20" s="12" t="str">
        <f t="shared" si="3"/>
        <v>Critique</v>
      </c>
      <c r="N20" s="21"/>
    </row>
    <row r="21" spans="1:18" x14ac:dyDescent="0.35">
      <c r="A21" s="2" t="s">
        <v>132</v>
      </c>
      <c r="B21" s="13">
        <v>45734</v>
      </c>
      <c r="C21" s="1" t="s">
        <v>70</v>
      </c>
      <c r="D21" s="1" t="str">
        <f>VLOOKUP(C21,Répondants!A:B,2,0)</f>
        <v>Nassim</v>
      </c>
      <c r="E21" s="1" t="str">
        <f>VLOOKUP(C21,Répondants!A:C,3,0)</f>
        <v>MMSD</v>
      </c>
      <c r="F21" s="1">
        <v>7.5</v>
      </c>
      <c r="G21" s="1">
        <v>15.6</v>
      </c>
      <c r="H21" s="1">
        <v>7.5</v>
      </c>
      <c r="I21" s="1">
        <v>4.5999999999999996</v>
      </c>
      <c r="J21" s="1">
        <f t="shared" si="0"/>
        <v>3.2</v>
      </c>
      <c r="K21" s="12" t="str">
        <f>IF(J21&gt;7,"Intensif",IF(J21&gt;4,"Modéré","Faible"))</f>
        <v>Faible</v>
      </c>
      <c r="L21" s="12" t="str">
        <f t="shared" si="2"/>
        <v>OUI</v>
      </c>
      <c r="M21" s="12" t="str">
        <f t="shared" si="3"/>
        <v>Conforme</v>
      </c>
      <c r="N21" s="21"/>
    </row>
    <row r="22" spans="1:18" x14ac:dyDescent="0.35">
      <c r="A22" s="2" t="s">
        <v>133</v>
      </c>
      <c r="B22" s="13">
        <v>45737</v>
      </c>
      <c r="C22" s="1" t="s">
        <v>52</v>
      </c>
      <c r="D22" s="1" t="str">
        <f>VLOOKUP(C22,Répondants!A:B,2,0)</f>
        <v>Layla</v>
      </c>
      <c r="E22" s="1" t="str">
        <f>VLOOKUP(C22,Répondants!A:C,3,0)</f>
        <v>MMSD</v>
      </c>
      <c r="F22" s="1">
        <v>19.2</v>
      </c>
      <c r="G22" s="1">
        <v>4.8</v>
      </c>
      <c r="H22" s="1">
        <v>2.5</v>
      </c>
      <c r="I22" s="1">
        <v>7.1</v>
      </c>
      <c r="J22" s="1">
        <f t="shared" si="0"/>
        <v>7.1</v>
      </c>
      <c r="K22" s="12" t="str">
        <f t="shared" si="1"/>
        <v>Intensif</v>
      </c>
      <c r="L22" s="12" t="str">
        <f t="shared" si="2"/>
        <v>NON</v>
      </c>
      <c r="M22" s="12" t="str">
        <f t="shared" si="3"/>
        <v>Critique</v>
      </c>
      <c r="N22" s="21"/>
    </row>
    <row r="23" spans="1:18" x14ac:dyDescent="0.35">
      <c r="A23" s="2" t="s">
        <v>134</v>
      </c>
      <c r="B23" s="13">
        <v>45740</v>
      </c>
      <c r="C23" s="1" t="s">
        <v>23</v>
      </c>
      <c r="D23" s="1" t="str">
        <f>VLOOKUP(C23,Répondants!A:B,2,0)</f>
        <v>Salma</v>
      </c>
      <c r="E23" s="1" t="str">
        <f>VLOOKUP(C23,Répondants!A:C,3,0)</f>
        <v>MMSD</v>
      </c>
      <c r="F23" s="1">
        <v>11.5</v>
      </c>
      <c r="G23" s="1">
        <v>9.6999999999999993</v>
      </c>
      <c r="H23" s="1">
        <v>5.0999999999999996</v>
      </c>
      <c r="I23" s="1">
        <v>6</v>
      </c>
      <c r="J23" s="1">
        <f t="shared" si="0"/>
        <v>4.4000000000000004</v>
      </c>
      <c r="K23" s="12" t="str">
        <f t="shared" si="1"/>
        <v>Modéré</v>
      </c>
      <c r="L23" s="12" t="str">
        <f t="shared" si="2"/>
        <v>NON</v>
      </c>
      <c r="M23" s="12" t="str">
        <f t="shared" si="3"/>
        <v>Modéré</v>
      </c>
      <c r="N23" s="21"/>
    </row>
    <row r="24" spans="1:18" x14ac:dyDescent="0.35">
      <c r="A24" s="2" t="s">
        <v>135</v>
      </c>
      <c r="B24" s="13">
        <v>45743</v>
      </c>
      <c r="C24" s="1" t="s">
        <v>66</v>
      </c>
      <c r="D24" s="1" t="str">
        <f>VLOOKUP(C24,Répondants!A:B,2,0)</f>
        <v>Walid</v>
      </c>
      <c r="E24" s="1" t="str">
        <f>VLOOKUP(C24,Répondants!A:C,3,0)</f>
        <v>Informatique</v>
      </c>
      <c r="F24" s="1">
        <v>25.8</v>
      </c>
      <c r="G24" s="1">
        <v>1.9</v>
      </c>
      <c r="H24" s="1">
        <v>1.1000000000000001</v>
      </c>
      <c r="I24" s="1">
        <v>8.6</v>
      </c>
      <c r="J24" s="1">
        <f>ROUND(MIN(10,MAX(1,(F24/3)+(G24/4)-(H24/2)+(I24/9))),1)</f>
        <v>9.5</v>
      </c>
      <c r="K24" s="12" t="str">
        <f t="shared" si="1"/>
        <v>Intensif</v>
      </c>
      <c r="L24" s="12" t="str">
        <f t="shared" si="2"/>
        <v>NON</v>
      </c>
      <c r="M24" s="12" t="str">
        <f t="shared" si="3"/>
        <v>Critique</v>
      </c>
      <c r="N24" s="21"/>
    </row>
    <row r="25" spans="1:18" x14ac:dyDescent="0.35">
      <c r="A25" s="2" t="s">
        <v>136</v>
      </c>
      <c r="B25" s="13">
        <v>45746</v>
      </c>
      <c r="C25" s="1" t="s">
        <v>40</v>
      </c>
      <c r="D25" s="1" t="str">
        <f>VLOOKUP(C25,Répondants!A:B,2,0)</f>
        <v>Rim</v>
      </c>
      <c r="E25" s="1" t="str">
        <f>VLOOKUP(C25,Répondants!A:C,3,0)</f>
        <v>MMSD</v>
      </c>
      <c r="F25" s="1">
        <v>6.2</v>
      </c>
      <c r="G25" s="1">
        <v>16.899999999999999</v>
      </c>
      <c r="H25" s="1">
        <v>8.3000000000000007</v>
      </c>
      <c r="I25" s="1">
        <v>4.3</v>
      </c>
      <c r="J25" s="1">
        <f t="shared" si="0"/>
        <v>2.6</v>
      </c>
      <c r="K25" s="12" t="str">
        <f t="shared" si="1"/>
        <v>Faible</v>
      </c>
      <c r="L25" s="12" t="str">
        <f t="shared" si="2"/>
        <v>OUI</v>
      </c>
      <c r="M25" s="12" t="str">
        <f t="shared" si="3"/>
        <v>Conforme</v>
      </c>
      <c r="N25" s="21"/>
    </row>
    <row r="26" spans="1:18" x14ac:dyDescent="0.35">
      <c r="A26" s="2" t="s">
        <v>137</v>
      </c>
      <c r="B26" s="13">
        <v>45749</v>
      </c>
      <c r="C26" s="1" t="s">
        <v>78</v>
      </c>
      <c r="D26" s="1" t="str">
        <f>VLOOKUP(C26,Répondants!A:B,2,0)</f>
        <v>Iliass</v>
      </c>
      <c r="E26" s="1" t="str">
        <f>VLOOKUP(C26,Répondants!A:C,3,0)</f>
        <v>Informatique</v>
      </c>
      <c r="F26" s="1">
        <v>18</v>
      </c>
      <c r="G26" s="1">
        <v>5.5</v>
      </c>
      <c r="H26" s="1">
        <v>2.9</v>
      </c>
      <c r="I26" s="1">
        <v>7.2</v>
      </c>
      <c r="J26" s="1">
        <f t="shared" si="0"/>
        <v>6.7</v>
      </c>
      <c r="K26" s="12" t="str">
        <f t="shared" si="1"/>
        <v>Modéré</v>
      </c>
      <c r="L26" s="12" t="str">
        <f t="shared" si="2"/>
        <v>NON</v>
      </c>
      <c r="M26" s="12" t="str">
        <f t="shared" si="3"/>
        <v>Modéré</v>
      </c>
      <c r="N26" s="21"/>
    </row>
    <row r="27" spans="1:18" x14ac:dyDescent="0.35">
      <c r="A27" s="2" t="s">
        <v>138</v>
      </c>
      <c r="B27" s="13">
        <v>45752</v>
      </c>
      <c r="C27" s="1" t="s">
        <v>33</v>
      </c>
      <c r="D27" s="1" t="str">
        <f>VLOOKUP(C27,Répondants!A:B,2,0)</f>
        <v>Karim</v>
      </c>
      <c r="E27" s="1" t="str">
        <f>VLOOKUP(C27,Répondants!A:C,3,0)</f>
        <v>MMSD</v>
      </c>
      <c r="F27" s="1">
        <v>13.1</v>
      </c>
      <c r="G27" s="1">
        <v>8.6</v>
      </c>
      <c r="H27" s="1">
        <v>4.5999999999999996</v>
      </c>
      <c r="I27" s="1">
        <v>6.3</v>
      </c>
      <c r="J27" s="1">
        <f t="shared" si="0"/>
        <v>4.9000000000000004</v>
      </c>
      <c r="K27" s="12" t="str">
        <f t="shared" si="1"/>
        <v>Modéré</v>
      </c>
      <c r="L27" s="12" t="str">
        <f t="shared" si="2"/>
        <v>NON</v>
      </c>
      <c r="M27" s="12" t="str">
        <f t="shared" si="3"/>
        <v>Modéré</v>
      </c>
      <c r="N27" s="21"/>
    </row>
    <row r="28" spans="1:18" x14ac:dyDescent="0.35">
      <c r="A28" s="2" t="s">
        <v>139</v>
      </c>
      <c r="B28" s="13">
        <v>45755</v>
      </c>
      <c r="C28" s="1" t="s">
        <v>48</v>
      </c>
      <c r="D28" s="1" t="str">
        <f>VLOOKUP(C28,Répondants!A:B,2,0)</f>
        <v>Asmae</v>
      </c>
      <c r="E28" s="1" t="str">
        <f>VLOOKUP(C28,Répondants!A:C,3,0)</f>
        <v>Informatique</v>
      </c>
      <c r="F28" s="1">
        <v>22.8</v>
      </c>
      <c r="G28" s="1">
        <v>3</v>
      </c>
      <c r="H28" s="1">
        <v>1.7</v>
      </c>
      <c r="I28" s="1">
        <v>7.9</v>
      </c>
      <c r="J28" s="1">
        <f t="shared" si="0"/>
        <v>8.4</v>
      </c>
      <c r="K28" s="12" t="str">
        <f t="shared" si="1"/>
        <v>Intensif</v>
      </c>
      <c r="L28" s="12" t="str">
        <f t="shared" si="2"/>
        <v>NON</v>
      </c>
      <c r="M28" s="12" t="str">
        <f t="shared" si="3"/>
        <v>Critique</v>
      </c>
      <c r="N28" s="21"/>
    </row>
    <row r="29" spans="1:18" x14ac:dyDescent="0.35">
      <c r="A29" s="2" t="s">
        <v>140</v>
      </c>
      <c r="B29" s="13">
        <v>45758</v>
      </c>
      <c r="C29" s="1" t="s">
        <v>62</v>
      </c>
      <c r="D29" s="1" t="str">
        <f>VLOOKUP(C29,Répondants!A:B,2,0)</f>
        <v>Othmane</v>
      </c>
      <c r="E29" s="1" t="str">
        <f>VLOOKUP(C29,Répondants!A:C,3,0)</f>
        <v>Physique</v>
      </c>
      <c r="F29" s="1">
        <v>8</v>
      </c>
      <c r="G29" s="1">
        <v>13.5</v>
      </c>
      <c r="H29" s="1">
        <v>6.8</v>
      </c>
      <c r="I29" s="1">
        <v>5.0999999999999996</v>
      </c>
      <c r="J29" s="1">
        <f t="shared" si="0"/>
        <v>3.2</v>
      </c>
      <c r="K29" s="12" t="str">
        <f t="shared" si="1"/>
        <v>Faible</v>
      </c>
      <c r="L29" s="12" t="str">
        <f t="shared" si="2"/>
        <v>OUI</v>
      </c>
      <c r="M29" s="12" t="str">
        <f t="shared" si="3"/>
        <v>Conforme</v>
      </c>
      <c r="N29" s="21"/>
    </row>
    <row r="30" spans="1:18" x14ac:dyDescent="0.35">
      <c r="A30" s="2" t="s">
        <v>141</v>
      </c>
      <c r="B30" s="13">
        <v>45761</v>
      </c>
      <c r="C30" s="1" t="s">
        <v>56</v>
      </c>
      <c r="D30" s="1" t="str">
        <f>VLOOKUP(C30,Répondants!A:B,2,0)</f>
        <v>Dounia</v>
      </c>
      <c r="E30" s="1" t="str">
        <f>VLOOKUP(C30,Répondants!A:C,3,0)</f>
        <v>Physique</v>
      </c>
      <c r="F30" s="1">
        <v>24.8</v>
      </c>
      <c r="G30" s="1">
        <v>2.2999999999999998</v>
      </c>
      <c r="H30" s="1">
        <v>1.4</v>
      </c>
      <c r="I30" s="1">
        <v>8.4</v>
      </c>
      <c r="J30" s="1">
        <f t="shared" si="0"/>
        <v>9.1</v>
      </c>
      <c r="K30" s="12" t="str">
        <f t="shared" si="1"/>
        <v>Intensif</v>
      </c>
      <c r="L30" s="12" t="str">
        <f t="shared" si="2"/>
        <v>NON</v>
      </c>
      <c r="M30" s="12" t="str">
        <f t="shared" si="3"/>
        <v>Critique</v>
      </c>
      <c r="N30" s="21"/>
    </row>
    <row r="31" spans="1:18" x14ac:dyDescent="0.35">
      <c r="A31" s="2" t="s">
        <v>142</v>
      </c>
      <c r="B31" s="13">
        <v>45764</v>
      </c>
      <c r="C31" s="1" t="s">
        <v>72</v>
      </c>
      <c r="D31" s="1" t="str">
        <f>VLOOKUP(C31,Répondants!A:B,2,0)</f>
        <v>Siham</v>
      </c>
      <c r="E31" s="1" t="str">
        <f>VLOOKUP(C31,Répondants!A:C,3,0)</f>
        <v>Informatique</v>
      </c>
      <c r="F31" s="1">
        <v>7.8</v>
      </c>
      <c r="G31" s="1">
        <v>14.2</v>
      </c>
      <c r="H31" s="1">
        <v>7</v>
      </c>
      <c r="I31" s="1">
        <v>4.9000000000000004</v>
      </c>
      <c r="J31" s="1">
        <f t="shared" si="0"/>
        <v>3.2</v>
      </c>
      <c r="K31" s="12" t="str">
        <f t="shared" si="1"/>
        <v>Faible</v>
      </c>
      <c r="L31" s="12" t="str">
        <f t="shared" si="2"/>
        <v>OUI</v>
      </c>
      <c r="M31" s="12" t="str">
        <f t="shared" si="3"/>
        <v>Conforme</v>
      </c>
      <c r="N31" s="21"/>
    </row>
    <row r="32" spans="1:18" x14ac:dyDescent="0.35">
      <c r="A32" s="2" t="s">
        <v>143</v>
      </c>
      <c r="B32" s="13">
        <v>45767</v>
      </c>
      <c r="C32" s="1" t="s">
        <v>17</v>
      </c>
      <c r="D32" s="1" t="str">
        <f>VLOOKUP(C32,Répondants!A:B,2,0)</f>
        <v>Amine</v>
      </c>
      <c r="E32" s="1" t="str">
        <f>VLOOKUP(C32,Répondants!A:C,3,0)</f>
        <v>Physique</v>
      </c>
      <c r="F32" s="1">
        <v>20.100000000000001</v>
      </c>
      <c r="G32" s="1">
        <v>4.3</v>
      </c>
      <c r="H32" s="1">
        <v>2.2000000000000002</v>
      </c>
      <c r="I32" s="1">
        <v>7.7</v>
      </c>
      <c r="J32" s="1">
        <f t="shared" si="0"/>
        <v>7.5</v>
      </c>
      <c r="K32" s="12" t="str">
        <f t="shared" si="1"/>
        <v>Intensif</v>
      </c>
      <c r="L32" s="12" t="str">
        <f t="shared" si="2"/>
        <v>NON</v>
      </c>
      <c r="M32" s="12" t="str">
        <f t="shared" si="3"/>
        <v>Critique</v>
      </c>
      <c r="N32" s="21"/>
    </row>
    <row r="33" spans="1:14" x14ac:dyDescent="0.35">
      <c r="A33" s="2" t="s">
        <v>144</v>
      </c>
      <c r="B33" s="13">
        <v>45770</v>
      </c>
      <c r="C33" s="1" t="s">
        <v>50</v>
      </c>
      <c r="D33" s="1" t="str">
        <f>VLOOKUP(C33,Répondants!A:B,2,0)</f>
        <v>Hamza</v>
      </c>
      <c r="E33" s="1" t="str">
        <f>VLOOKUP(C33,Répondants!A:C,3,0)</f>
        <v>Physique</v>
      </c>
      <c r="F33" s="1">
        <v>9.3000000000000007</v>
      </c>
      <c r="G33" s="1">
        <v>11.8</v>
      </c>
      <c r="H33" s="1">
        <v>5.7</v>
      </c>
      <c r="I33" s="1">
        <v>5.4</v>
      </c>
      <c r="J33" s="1">
        <f t="shared" si="0"/>
        <v>3.8</v>
      </c>
      <c r="K33" s="12" t="str">
        <f t="shared" si="1"/>
        <v>Faible</v>
      </c>
      <c r="L33" s="12" t="str">
        <f t="shared" si="2"/>
        <v>OUI</v>
      </c>
      <c r="M33" s="12" t="str">
        <f t="shared" si="3"/>
        <v>Conforme</v>
      </c>
      <c r="N33" s="21"/>
    </row>
    <row r="34" spans="1:14" x14ac:dyDescent="0.35">
      <c r="A34" s="2" t="s">
        <v>145</v>
      </c>
      <c r="B34" s="13">
        <v>45773</v>
      </c>
      <c r="C34" s="1" t="s">
        <v>64</v>
      </c>
      <c r="D34" s="1" t="str">
        <f>VLOOKUP(C34,Répondants!A:B,2,0)</f>
        <v>Chaimae</v>
      </c>
      <c r="E34" s="1" t="str">
        <f>VLOOKUP(C34,Répondants!A:C,3,0)</f>
        <v>MMSD</v>
      </c>
      <c r="F34" s="1">
        <v>23.1</v>
      </c>
      <c r="G34" s="1">
        <v>2.7</v>
      </c>
      <c r="H34" s="1">
        <v>1.6</v>
      </c>
      <c r="I34" s="1">
        <v>8</v>
      </c>
      <c r="J34" s="1">
        <f t="shared" si="0"/>
        <v>8.5</v>
      </c>
      <c r="K34" s="12" t="str">
        <f t="shared" si="1"/>
        <v>Intensif</v>
      </c>
      <c r="L34" s="12" t="str">
        <f t="shared" si="2"/>
        <v>NON</v>
      </c>
      <c r="M34" s="12" t="str">
        <f t="shared" si="3"/>
        <v>Critique</v>
      </c>
      <c r="N34" s="21"/>
    </row>
    <row r="35" spans="1:14" x14ac:dyDescent="0.35">
      <c r="A35" s="2" t="s">
        <v>146</v>
      </c>
      <c r="B35" s="13">
        <v>45776</v>
      </c>
      <c r="C35" s="1" t="s">
        <v>35</v>
      </c>
      <c r="D35" s="1" t="str">
        <f>VLOOKUP(C35,Répondants!A:B,2,0)</f>
        <v>Houda</v>
      </c>
      <c r="E35" s="1" t="str">
        <f>VLOOKUP(C35,Répondants!A:C,3,0)</f>
        <v>Informatique</v>
      </c>
      <c r="F35" s="1">
        <v>6.9</v>
      </c>
      <c r="G35" s="1">
        <v>16.2</v>
      </c>
      <c r="H35" s="1">
        <v>8</v>
      </c>
      <c r="I35" s="1">
        <v>4.4000000000000004</v>
      </c>
      <c r="J35" s="1">
        <f t="shared" si="0"/>
        <v>2.8</v>
      </c>
      <c r="K35" s="12" t="str">
        <f t="shared" si="1"/>
        <v>Faible</v>
      </c>
      <c r="L35" s="12" t="str">
        <f t="shared" si="2"/>
        <v>OUI</v>
      </c>
      <c r="M35" s="12" t="str">
        <f t="shared" si="3"/>
        <v>Conforme</v>
      </c>
      <c r="N35" s="21"/>
    </row>
    <row r="36" spans="1:14" x14ac:dyDescent="0.35">
      <c r="A36" s="2" t="s">
        <v>147</v>
      </c>
      <c r="B36" s="13">
        <v>45779</v>
      </c>
      <c r="C36" s="1" t="s">
        <v>58</v>
      </c>
      <c r="D36" s="1" t="str">
        <f>VLOOKUP(C36,Répondants!A:B,2,0)</f>
        <v>Saad</v>
      </c>
      <c r="E36" s="1" t="str">
        <f>VLOOKUP(C36,Répondants!A:C,3,0)</f>
        <v>MMSD</v>
      </c>
      <c r="F36" s="1">
        <v>19.5</v>
      </c>
      <c r="G36" s="1">
        <v>4.9000000000000004</v>
      </c>
      <c r="H36" s="1">
        <v>2.6</v>
      </c>
      <c r="I36" s="1">
        <v>7</v>
      </c>
      <c r="J36" s="1">
        <f t="shared" si="0"/>
        <v>7.2</v>
      </c>
      <c r="K36" s="12" t="str">
        <f t="shared" si="1"/>
        <v>Intensif</v>
      </c>
      <c r="L36" s="12" t="str">
        <f t="shared" si="2"/>
        <v>NON</v>
      </c>
      <c r="M36" s="12" t="str">
        <f t="shared" si="3"/>
        <v>Critique</v>
      </c>
      <c r="N36" s="21"/>
    </row>
    <row r="37" spans="1:14" x14ac:dyDescent="0.35">
      <c r="A37" s="2" t="s">
        <v>148</v>
      </c>
      <c r="B37" s="13">
        <v>45782</v>
      </c>
      <c r="C37" s="1" t="s">
        <v>6</v>
      </c>
      <c r="D37" s="1" t="str">
        <f>VLOOKUP(C37,Répondants!A:B,2,0)</f>
        <v>Youssef</v>
      </c>
      <c r="E37" s="1" t="str">
        <f>VLOOKUP(C37,Répondants!A:C,3,0)</f>
        <v>MMSD</v>
      </c>
      <c r="F37" s="1">
        <v>12</v>
      </c>
      <c r="G37" s="1">
        <v>9.1</v>
      </c>
      <c r="H37" s="1">
        <v>4.9000000000000004</v>
      </c>
      <c r="I37" s="1">
        <v>6.1</v>
      </c>
      <c r="J37" s="1">
        <f>ROUND(MIN(10,MAX(1,(F37/3)+(G37/4)-(H37/2)+(I37/9))),1)</f>
        <v>4.5</v>
      </c>
      <c r="K37" s="12" t="str">
        <f t="shared" si="1"/>
        <v>Modéré</v>
      </c>
      <c r="L37" s="12" t="str">
        <f t="shared" si="2"/>
        <v>NON</v>
      </c>
      <c r="M37" s="12" t="str">
        <f t="shared" si="3"/>
        <v>Modéré</v>
      </c>
      <c r="N37" s="21"/>
    </row>
    <row r="38" spans="1:14" x14ac:dyDescent="0.35">
      <c r="A38" s="2" t="s">
        <v>149</v>
      </c>
      <c r="B38" s="13">
        <v>45785</v>
      </c>
      <c r="C38" s="1" t="s">
        <v>80</v>
      </c>
      <c r="D38" s="1" t="str">
        <f>VLOOKUP(C38,Répondants!A:B,2,0)</f>
        <v>Safae</v>
      </c>
      <c r="E38" s="1" t="str">
        <f>VLOOKUP(C38,Répondants!A:C,3,0)</f>
        <v>Physique</v>
      </c>
      <c r="F38" s="1">
        <v>25.5</v>
      </c>
      <c r="G38" s="1">
        <v>2.2000000000000002</v>
      </c>
      <c r="H38" s="1">
        <v>1.2</v>
      </c>
      <c r="I38" s="1">
        <v>8.6999999999999993</v>
      </c>
      <c r="J38" s="1">
        <f>ROUND(MIN(10,MAX(1,(F38/3)+(G38/4)-(H38/2)+(I38/9))),1)</f>
        <v>9.4</v>
      </c>
      <c r="K38" s="12" t="str">
        <f t="shared" si="1"/>
        <v>Intensif</v>
      </c>
      <c r="L38" s="12" t="str">
        <f t="shared" si="2"/>
        <v>NON</v>
      </c>
      <c r="M38" s="12" t="str">
        <f t="shared" si="3"/>
        <v>Critique</v>
      </c>
      <c r="N38" s="21"/>
    </row>
    <row r="39" spans="1:14" x14ac:dyDescent="0.35">
      <c r="A39" s="2" t="s">
        <v>150</v>
      </c>
      <c r="B39" s="13">
        <v>45788</v>
      </c>
      <c r="C39" s="1" t="s">
        <v>44</v>
      </c>
      <c r="D39" s="1" t="str">
        <f>VLOOKUP(C39,Répondants!A:B,2,0)</f>
        <v>Zineb</v>
      </c>
      <c r="E39" s="1" t="str">
        <f>VLOOKUP(C39,Répondants!A:C,3,0)</f>
        <v>Physique</v>
      </c>
      <c r="F39" s="1">
        <v>7.3</v>
      </c>
      <c r="G39" s="1">
        <v>15</v>
      </c>
      <c r="H39" s="1">
        <v>7.3</v>
      </c>
      <c r="I39" s="1">
        <v>4.7</v>
      </c>
      <c r="J39" s="1">
        <f t="shared" ref="J39:J41" si="4">ROUND(MIN(10,MAX(1,(F39/3)+(G39/4)-(H39/2)+(I39/9))),1)</f>
        <v>3.1</v>
      </c>
      <c r="K39" s="12" t="str">
        <f>IF(J39&gt;7,"Intensif",IF(J39&gt;4,"Modéré","Faible"))</f>
        <v>Faible</v>
      </c>
      <c r="L39" s="12" t="str">
        <f t="shared" si="2"/>
        <v>OUI</v>
      </c>
      <c r="M39" s="12" t="str">
        <f t="shared" si="3"/>
        <v>Conforme</v>
      </c>
      <c r="N39" s="21"/>
    </row>
    <row r="40" spans="1:14" x14ac:dyDescent="0.35">
      <c r="A40" s="2" t="s">
        <v>151</v>
      </c>
      <c r="B40" s="13">
        <v>45791</v>
      </c>
      <c r="C40" s="1" t="s">
        <v>27</v>
      </c>
      <c r="D40" s="1" t="str">
        <f>VLOOKUP(C40,Répondants!A:B,2,0)</f>
        <v>Omar</v>
      </c>
      <c r="E40" s="1" t="str">
        <f>VLOOKUP(C40,Répondants!A:C,3,0)</f>
        <v>Informatique</v>
      </c>
      <c r="F40" s="1">
        <v>18.8</v>
      </c>
      <c r="G40" s="1">
        <v>5.0999999999999996</v>
      </c>
      <c r="H40" s="1">
        <v>2.7</v>
      </c>
      <c r="I40" s="1">
        <v>7.4</v>
      </c>
      <c r="J40" s="1">
        <f t="shared" si="4"/>
        <v>7</v>
      </c>
      <c r="K40" s="12" t="str">
        <f t="shared" si="1"/>
        <v>Modéré</v>
      </c>
      <c r="L40" s="12" t="str">
        <f t="shared" si="2"/>
        <v>NON</v>
      </c>
      <c r="M40" s="12" t="str">
        <f t="shared" si="3"/>
        <v>Modéré</v>
      </c>
      <c r="N40" s="21"/>
    </row>
    <row r="41" spans="1:14" x14ac:dyDescent="0.35">
      <c r="A41" s="4" t="s">
        <v>152</v>
      </c>
      <c r="B41" s="22">
        <v>45794</v>
      </c>
      <c r="C41" s="5" t="s">
        <v>74</v>
      </c>
      <c r="D41" s="5" t="str">
        <f>VLOOKUP(C41,Répondants!A:B,2,0)</f>
        <v>Ayoub</v>
      </c>
      <c r="E41" s="5" t="str">
        <f>VLOOKUP(C41,Répondants!A:C,3,0)</f>
        <v>Physique</v>
      </c>
      <c r="F41" s="5">
        <v>10.5</v>
      </c>
      <c r="G41" s="5">
        <v>10.199999999999999</v>
      </c>
      <c r="H41" s="5">
        <v>5.3</v>
      </c>
      <c r="I41" s="5">
        <v>6.4</v>
      </c>
      <c r="J41" s="5">
        <f t="shared" si="4"/>
        <v>4.0999999999999996</v>
      </c>
      <c r="K41" s="23" t="str">
        <f t="shared" si="1"/>
        <v>Modéré</v>
      </c>
      <c r="L41" s="23" t="str">
        <f t="shared" si="2"/>
        <v>OUI</v>
      </c>
      <c r="M41" s="23" t="str">
        <f t="shared" si="3"/>
        <v>Modéré</v>
      </c>
      <c r="N41" s="2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7832-EDEA-48BF-95C7-7096462BD2AE}">
  <dimension ref="A1:H21"/>
  <sheetViews>
    <sheetView zoomScale="65" zoomScaleNormal="30" workbookViewId="0">
      <selection activeCell="C41" sqref="C41"/>
    </sheetView>
  </sheetViews>
  <sheetFormatPr baseColWidth="10" defaultRowHeight="14.5" x14ac:dyDescent="0.35"/>
  <cols>
    <col min="1" max="1" width="18.08984375" style="1" customWidth="1"/>
    <col min="2" max="2" width="23" style="1" bestFit="1" customWidth="1"/>
    <col min="3" max="3" width="13.08984375" style="1" bestFit="1" customWidth="1"/>
    <col min="4" max="4" width="18" style="1" customWidth="1"/>
    <col min="5" max="5" width="15.36328125" style="1" customWidth="1"/>
    <col min="6" max="6" width="20.7265625" style="1" customWidth="1"/>
    <col min="7" max="7" width="14.36328125" style="1" customWidth="1"/>
    <col min="8" max="8" width="14.90625" style="1" customWidth="1"/>
    <col min="9" max="16384" width="10.90625" style="8"/>
  </cols>
  <sheetData>
    <row r="1" spans="1:8" s="9" customFormat="1" x14ac:dyDescent="0.35">
      <c r="A1" s="17" t="s">
        <v>164</v>
      </c>
      <c r="B1" s="18" t="s">
        <v>165</v>
      </c>
      <c r="C1" s="18" t="s">
        <v>170</v>
      </c>
      <c r="D1" s="18" t="s">
        <v>166</v>
      </c>
      <c r="E1" s="18" t="s">
        <v>167</v>
      </c>
      <c r="F1" s="18" t="s">
        <v>168</v>
      </c>
      <c r="G1" s="18" t="s">
        <v>169</v>
      </c>
      <c r="H1" s="19" t="s">
        <v>171</v>
      </c>
    </row>
    <row r="2" spans="1:8" x14ac:dyDescent="0.35">
      <c r="A2" s="2" t="s">
        <v>172</v>
      </c>
      <c r="B2" s="1" t="s">
        <v>173</v>
      </c>
      <c r="C2" s="1" t="s">
        <v>174</v>
      </c>
      <c r="D2" s="1" t="s">
        <v>175</v>
      </c>
      <c r="E2" s="1">
        <v>8</v>
      </c>
      <c r="F2" s="1">
        <v>7</v>
      </c>
      <c r="G2" s="1" t="s">
        <v>176</v>
      </c>
      <c r="H2" s="3">
        <f>E2*F2</f>
        <v>56</v>
      </c>
    </row>
    <row r="3" spans="1:8" x14ac:dyDescent="0.35">
      <c r="A3" s="2" t="s">
        <v>177</v>
      </c>
      <c r="B3" s="1" t="s">
        <v>178</v>
      </c>
      <c r="C3" s="1" t="s">
        <v>179</v>
      </c>
      <c r="D3" s="1" t="s">
        <v>180</v>
      </c>
      <c r="E3" s="1">
        <v>6</v>
      </c>
      <c r="F3" s="1">
        <v>5</v>
      </c>
      <c r="G3" s="1" t="s">
        <v>181</v>
      </c>
      <c r="H3" s="3">
        <f t="shared" ref="H3:H21" si="0">E3*F3</f>
        <v>30</v>
      </c>
    </row>
    <row r="4" spans="1:8" x14ac:dyDescent="0.35">
      <c r="A4" s="2" t="s">
        <v>182</v>
      </c>
      <c r="B4" s="1" t="s">
        <v>183</v>
      </c>
      <c r="C4" s="1" t="s">
        <v>184</v>
      </c>
      <c r="D4" s="1" t="s">
        <v>185</v>
      </c>
      <c r="E4" s="1">
        <v>7</v>
      </c>
      <c r="F4" s="1">
        <v>4</v>
      </c>
      <c r="G4" s="1" t="s">
        <v>176</v>
      </c>
      <c r="H4" s="3">
        <f t="shared" si="0"/>
        <v>28</v>
      </c>
    </row>
    <row r="5" spans="1:8" x14ac:dyDescent="0.35">
      <c r="A5" s="2" t="s">
        <v>186</v>
      </c>
      <c r="B5" s="1" t="s">
        <v>187</v>
      </c>
      <c r="C5" s="1" t="s">
        <v>179</v>
      </c>
      <c r="D5" s="1" t="s">
        <v>188</v>
      </c>
      <c r="E5" s="1">
        <v>5</v>
      </c>
      <c r="F5" s="1">
        <v>9</v>
      </c>
      <c r="G5" s="1" t="s">
        <v>189</v>
      </c>
      <c r="H5" s="3">
        <f t="shared" si="0"/>
        <v>45</v>
      </c>
    </row>
    <row r="6" spans="1:8" x14ac:dyDescent="0.35">
      <c r="A6" s="2" t="s">
        <v>190</v>
      </c>
      <c r="B6" s="1" t="s">
        <v>191</v>
      </c>
      <c r="C6" s="1" t="s">
        <v>174</v>
      </c>
      <c r="D6" s="1" t="s">
        <v>175</v>
      </c>
      <c r="E6" s="1">
        <v>6</v>
      </c>
      <c r="F6" s="1">
        <v>8</v>
      </c>
      <c r="G6" s="1" t="s">
        <v>176</v>
      </c>
      <c r="H6" s="3">
        <f t="shared" si="0"/>
        <v>48</v>
      </c>
    </row>
    <row r="7" spans="1:8" x14ac:dyDescent="0.35">
      <c r="A7" s="2" t="s">
        <v>192</v>
      </c>
      <c r="B7" s="1" t="s">
        <v>193</v>
      </c>
      <c r="C7" s="1" t="s">
        <v>179</v>
      </c>
      <c r="D7" s="1" t="s">
        <v>180</v>
      </c>
      <c r="E7" s="1">
        <v>3</v>
      </c>
      <c r="F7" s="1">
        <v>4</v>
      </c>
      <c r="G7" s="1" t="s">
        <v>181</v>
      </c>
      <c r="H7" s="3">
        <f t="shared" si="0"/>
        <v>12</v>
      </c>
    </row>
    <row r="8" spans="1:8" x14ac:dyDescent="0.35">
      <c r="A8" s="2" t="s">
        <v>194</v>
      </c>
      <c r="B8" s="1" t="s">
        <v>195</v>
      </c>
      <c r="C8" s="1" t="s">
        <v>196</v>
      </c>
      <c r="D8" s="1" t="s">
        <v>188</v>
      </c>
      <c r="E8" s="1">
        <v>5</v>
      </c>
      <c r="F8" s="1">
        <v>6</v>
      </c>
      <c r="G8" s="1" t="s">
        <v>189</v>
      </c>
      <c r="H8" s="3">
        <f t="shared" si="0"/>
        <v>30</v>
      </c>
    </row>
    <row r="9" spans="1:8" x14ac:dyDescent="0.35">
      <c r="A9" s="2" t="s">
        <v>197</v>
      </c>
      <c r="B9" s="1" t="s">
        <v>198</v>
      </c>
      <c r="C9" s="1" t="s">
        <v>179</v>
      </c>
      <c r="D9" s="1" t="s">
        <v>199</v>
      </c>
      <c r="E9" s="1">
        <v>2</v>
      </c>
      <c r="F9" s="1">
        <v>3</v>
      </c>
      <c r="G9" s="1" t="s">
        <v>181</v>
      </c>
      <c r="H9" s="3">
        <f t="shared" si="0"/>
        <v>6</v>
      </c>
    </row>
    <row r="10" spans="1:8" x14ac:dyDescent="0.35">
      <c r="A10" s="2" t="s">
        <v>200</v>
      </c>
      <c r="B10" s="1" t="s">
        <v>201</v>
      </c>
      <c r="C10" s="1" t="s">
        <v>174</v>
      </c>
      <c r="D10" s="1" t="s">
        <v>175</v>
      </c>
      <c r="E10" s="1">
        <v>7</v>
      </c>
      <c r="F10" s="1">
        <v>9</v>
      </c>
      <c r="G10" s="1" t="s">
        <v>176</v>
      </c>
      <c r="H10" s="3">
        <f t="shared" si="0"/>
        <v>63</v>
      </c>
    </row>
    <row r="11" spans="1:8" x14ac:dyDescent="0.35">
      <c r="A11" s="2" t="s">
        <v>202</v>
      </c>
      <c r="B11" s="1" t="s">
        <v>203</v>
      </c>
      <c r="C11" s="1" t="s">
        <v>204</v>
      </c>
      <c r="D11" s="1" t="s">
        <v>188</v>
      </c>
      <c r="E11" s="1">
        <v>3</v>
      </c>
      <c r="F11" s="1">
        <v>5</v>
      </c>
      <c r="G11" s="1" t="s">
        <v>181</v>
      </c>
      <c r="H11" s="3">
        <f t="shared" si="0"/>
        <v>15</v>
      </c>
    </row>
    <row r="12" spans="1:8" x14ac:dyDescent="0.35">
      <c r="A12" s="2" t="s">
        <v>205</v>
      </c>
      <c r="B12" s="1" t="s">
        <v>206</v>
      </c>
      <c r="C12" s="1" t="s">
        <v>174</v>
      </c>
      <c r="D12" s="1" t="s">
        <v>207</v>
      </c>
      <c r="E12" s="1">
        <v>6</v>
      </c>
      <c r="F12" s="1">
        <v>7</v>
      </c>
      <c r="G12" s="1" t="s">
        <v>189</v>
      </c>
      <c r="H12" s="3">
        <f t="shared" si="0"/>
        <v>42</v>
      </c>
    </row>
    <row r="13" spans="1:8" x14ac:dyDescent="0.35">
      <c r="A13" s="2" t="s">
        <v>208</v>
      </c>
      <c r="B13" s="1" t="s">
        <v>209</v>
      </c>
      <c r="C13" s="1" t="s">
        <v>184</v>
      </c>
      <c r="D13" s="1" t="s">
        <v>175</v>
      </c>
      <c r="E13" s="1">
        <v>2</v>
      </c>
      <c r="F13" s="1">
        <v>3</v>
      </c>
      <c r="G13" s="1" t="s">
        <v>181</v>
      </c>
      <c r="H13" s="3">
        <f t="shared" si="0"/>
        <v>6</v>
      </c>
    </row>
    <row r="14" spans="1:8" x14ac:dyDescent="0.35">
      <c r="A14" s="2" t="s">
        <v>210</v>
      </c>
      <c r="B14" s="1" t="s">
        <v>211</v>
      </c>
      <c r="C14" s="1" t="s">
        <v>179</v>
      </c>
      <c r="D14" s="1" t="s">
        <v>188</v>
      </c>
      <c r="E14" s="1">
        <v>4</v>
      </c>
      <c r="F14" s="1">
        <v>8</v>
      </c>
      <c r="G14" s="1" t="s">
        <v>189</v>
      </c>
      <c r="H14" s="3">
        <f t="shared" si="0"/>
        <v>32</v>
      </c>
    </row>
    <row r="15" spans="1:8" x14ac:dyDescent="0.35">
      <c r="A15" s="2" t="s">
        <v>212</v>
      </c>
      <c r="B15" s="1" t="s">
        <v>213</v>
      </c>
      <c r="C15" s="1" t="s">
        <v>196</v>
      </c>
      <c r="D15" s="1" t="s">
        <v>199</v>
      </c>
      <c r="E15" s="1">
        <v>5</v>
      </c>
      <c r="F15" s="1">
        <v>5</v>
      </c>
      <c r="G15" s="1" t="s">
        <v>189</v>
      </c>
      <c r="H15" s="3">
        <f t="shared" si="0"/>
        <v>25</v>
      </c>
    </row>
    <row r="16" spans="1:8" x14ac:dyDescent="0.35">
      <c r="A16" s="2" t="s">
        <v>214</v>
      </c>
      <c r="B16" s="1" t="s">
        <v>215</v>
      </c>
      <c r="C16" s="1" t="s">
        <v>179</v>
      </c>
      <c r="D16" s="1" t="s">
        <v>180</v>
      </c>
      <c r="E16" s="1">
        <v>2</v>
      </c>
      <c r="F16" s="1">
        <v>4</v>
      </c>
      <c r="G16" s="1" t="s">
        <v>181</v>
      </c>
      <c r="H16" s="3">
        <f t="shared" si="0"/>
        <v>8</v>
      </c>
    </row>
    <row r="17" spans="1:8" x14ac:dyDescent="0.35">
      <c r="A17" s="2" t="s">
        <v>216</v>
      </c>
      <c r="B17" s="1" t="s">
        <v>217</v>
      </c>
      <c r="C17" s="1" t="s">
        <v>196</v>
      </c>
      <c r="D17" s="1" t="s">
        <v>188</v>
      </c>
      <c r="E17" s="1">
        <v>6</v>
      </c>
      <c r="F17" s="1">
        <v>3</v>
      </c>
      <c r="G17" s="1" t="s">
        <v>189</v>
      </c>
      <c r="H17" s="3">
        <f t="shared" si="0"/>
        <v>18</v>
      </c>
    </row>
    <row r="18" spans="1:8" x14ac:dyDescent="0.35">
      <c r="A18" s="2" t="s">
        <v>218</v>
      </c>
      <c r="B18" s="1" t="s">
        <v>219</v>
      </c>
      <c r="C18" s="1" t="s">
        <v>174</v>
      </c>
      <c r="D18" s="1" t="s">
        <v>175</v>
      </c>
      <c r="E18" s="1">
        <v>8</v>
      </c>
      <c r="F18" s="1">
        <v>8</v>
      </c>
      <c r="G18" s="1" t="s">
        <v>176</v>
      </c>
      <c r="H18" s="3">
        <f t="shared" si="0"/>
        <v>64</v>
      </c>
    </row>
    <row r="19" spans="1:8" x14ac:dyDescent="0.35">
      <c r="A19" s="2" t="s">
        <v>220</v>
      </c>
      <c r="B19" s="1" t="s">
        <v>221</v>
      </c>
      <c r="C19" s="1" t="s">
        <v>179</v>
      </c>
      <c r="D19" s="1" t="s">
        <v>199</v>
      </c>
      <c r="E19" s="1">
        <v>3</v>
      </c>
      <c r="F19" s="1">
        <v>5</v>
      </c>
      <c r="G19" s="1" t="s">
        <v>181</v>
      </c>
      <c r="H19" s="3">
        <f t="shared" si="0"/>
        <v>15</v>
      </c>
    </row>
    <row r="20" spans="1:8" x14ac:dyDescent="0.35">
      <c r="A20" s="2" t="s">
        <v>222</v>
      </c>
      <c r="B20" s="1" t="s">
        <v>223</v>
      </c>
      <c r="C20" s="1" t="s">
        <v>174</v>
      </c>
      <c r="D20" s="1" t="s">
        <v>207</v>
      </c>
      <c r="E20" s="1">
        <v>9</v>
      </c>
      <c r="F20" s="1">
        <v>2</v>
      </c>
      <c r="G20" s="1" t="s">
        <v>176</v>
      </c>
      <c r="H20" s="3">
        <f t="shared" si="0"/>
        <v>18</v>
      </c>
    </row>
    <row r="21" spans="1:8" x14ac:dyDescent="0.35">
      <c r="A21" s="4" t="s">
        <v>224</v>
      </c>
      <c r="B21" s="5" t="s">
        <v>225</v>
      </c>
      <c r="C21" s="5" t="s">
        <v>204</v>
      </c>
      <c r="D21" s="5" t="s">
        <v>188</v>
      </c>
      <c r="E21" s="5">
        <v>3</v>
      </c>
      <c r="F21" s="5">
        <v>4</v>
      </c>
      <c r="G21" s="5" t="s">
        <v>181</v>
      </c>
      <c r="H21" s="6">
        <f t="shared" si="0"/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783B-D9FA-47D1-89B0-B1DD4A191A3E}">
  <dimension ref="A1"/>
  <sheetViews>
    <sheetView topLeftCell="A52" zoomScale="56" workbookViewId="0">
      <selection activeCell="D4" sqref="D4"/>
    </sheetView>
  </sheetViews>
  <sheetFormatPr baseColWidth="10" defaultRowHeight="14.5" x14ac:dyDescent="0.35"/>
  <sheetData>
    <row r="1" spans="1:1" ht="21" x14ac:dyDescent="0.5">
      <c r="A1" s="26" t="s">
        <v>238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Répondants</vt:lpstr>
      <vt:lpstr>Paramètres de Surveillance</vt:lpstr>
      <vt:lpstr>Données de l'Enquête </vt:lpstr>
      <vt:lpstr>Comportements &amp; Sources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EL ADDAOUI</dc:creator>
  <cp:lastModifiedBy>SALMA EL ADDAOUI</cp:lastModifiedBy>
  <cp:lastPrinted>2026-05-08T12:53:16Z</cp:lastPrinted>
  <dcterms:created xsi:type="dcterms:W3CDTF">2026-04-30T19:45:43Z</dcterms:created>
  <dcterms:modified xsi:type="dcterms:W3CDTF">2026-05-08T13:13:42Z</dcterms:modified>
</cp:coreProperties>
</file>